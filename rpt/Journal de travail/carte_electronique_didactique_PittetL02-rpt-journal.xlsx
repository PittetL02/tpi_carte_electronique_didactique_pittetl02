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eduetatfr-my.sharepoint.com/personal/loic_pittet_studentfr_ch/Documents/TPI_PITTETL02/tpi_carte_electronique_didactique_pittetl02/rpt/Journal de travail/"/>
    </mc:Choice>
  </mc:AlternateContent>
  <xr:revisionPtr revIDLastSave="1064" documentId="11_416AEE08F1E9306E2D9B4F0BC9E4841233F83705" xr6:coauthVersionLast="47" xr6:coauthVersionMax="47" xr10:uidLastSave="{216B380F-14C9-443A-B12B-AEC934DE345A}"/>
  <bookViews>
    <workbookView xWindow="-28920" yWindow="-120" windowWidth="29040" windowHeight="15840" activeTab="9" xr2:uid="{00000000-000D-0000-FFFF-FFFF00000000}"/>
  </bookViews>
  <sheets>
    <sheet name="Feuil1" sheetId="15" r:id="rId1"/>
    <sheet name="s1" sheetId="8" r:id="rId2"/>
    <sheet name="s2" sheetId="1" r:id="rId3"/>
    <sheet name="s3" sheetId="9" r:id="rId4"/>
    <sheet name="s4" sheetId="10" r:id="rId5"/>
    <sheet name="s5" sheetId="11" r:id="rId6"/>
    <sheet name="s6" sheetId="12" r:id="rId7"/>
    <sheet name="s7" sheetId="13" r:id="rId8"/>
    <sheet name="s8" sheetId="14" r:id="rId9"/>
    <sheet name="total" sheetId="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10" l="1"/>
  <c r="F28" i="10"/>
  <c r="F21" i="10"/>
  <c r="F16" i="10"/>
  <c r="F11" i="10"/>
  <c r="F36" i="9"/>
  <c r="F28" i="9"/>
  <c r="F21" i="9"/>
  <c r="F16" i="9"/>
  <c r="F11" i="9"/>
  <c r="F36" i="1"/>
  <c r="F28" i="1"/>
  <c r="F21" i="1"/>
  <c r="F16" i="1"/>
  <c r="F11" i="1"/>
  <c r="F36" i="8"/>
  <c r="F28" i="8"/>
  <c r="F31" i="14"/>
  <c r="F26" i="14"/>
  <c r="F21" i="14"/>
  <c r="F16" i="14"/>
  <c r="F11" i="14"/>
  <c r="F31" i="13"/>
  <c r="F26" i="13"/>
  <c r="F21" i="13"/>
  <c r="F16" i="13"/>
  <c r="F11" i="13"/>
  <c r="F31" i="12"/>
  <c r="F26" i="12"/>
  <c r="F21" i="12"/>
  <c r="F16" i="12"/>
  <c r="F11" i="12"/>
  <c r="F31" i="11"/>
  <c r="F26" i="11"/>
  <c r="F21" i="11"/>
  <c r="F16" i="11"/>
  <c r="F11" i="11"/>
  <c r="G37" i="10" l="1"/>
  <c r="G37" i="9"/>
  <c r="G37" i="1"/>
  <c r="G32" i="14"/>
  <c r="G32" i="13"/>
  <c r="G32" i="12"/>
  <c r="G32" i="11"/>
  <c r="F21" i="8"/>
  <c r="F16" i="8"/>
  <c r="F11" i="8"/>
  <c r="G37" i="8" l="1"/>
</calcChain>
</file>

<file path=xl/sharedStrings.xml><?xml version="1.0" encoding="utf-8"?>
<sst xmlns="http://schemas.openxmlformats.org/spreadsheetml/2006/main" count="424" uniqueCount="154">
  <si>
    <t>Date</t>
  </si>
  <si>
    <t>Projet</t>
  </si>
  <si>
    <t>Temps</t>
  </si>
  <si>
    <t>[H.h]</t>
  </si>
  <si>
    <t>Report</t>
  </si>
  <si>
    <t>mardi</t>
  </si>
  <si>
    <t>lundi</t>
  </si>
  <si>
    <t>mercredi</t>
  </si>
  <si>
    <t>jeudi</t>
  </si>
  <si>
    <t>vendredi</t>
  </si>
  <si>
    <t xml:space="preserve">Auto-évaluation personnelle hebdomadaire ↓↓↓ </t>
  </si>
  <si>
    <t xml:space="preserve">Total du jour &gt; </t>
  </si>
  <si>
    <t xml:space="preserve">Total de la semaine &gt; </t>
  </si>
  <si>
    <t>EMF-Industrie</t>
  </si>
  <si>
    <t>Electronicien CFC</t>
  </si>
  <si>
    <t>Journal de travail</t>
  </si>
  <si>
    <t>Thème</t>
  </si>
  <si>
    <t>Action réalisée</t>
  </si>
  <si>
    <r>
      <t xml:space="preserve">Problème rencontré -&gt; </t>
    </r>
    <r>
      <rPr>
        <sz val="8"/>
        <color rgb="FFFF0000"/>
        <rFont val="Courier New"/>
        <family val="3"/>
      </rPr>
      <t>Décision</t>
    </r>
  </si>
  <si>
    <t>Pittet Loïc</t>
  </si>
  <si>
    <t>[2024-09-23]</t>
  </si>
  <si>
    <t>[2024-09-24]</t>
  </si>
  <si>
    <t>[2024-09-25]</t>
  </si>
  <si>
    <t>[2024-09-26]</t>
  </si>
  <si>
    <t>[2024-09-27]</t>
  </si>
  <si>
    <t>[2024-10-04]</t>
  </si>
  <si>
    <t>[2024-10-03]</t>
  </si>
  <si>
    <t>[2024-10-02]</t>
  </si>
  <si>
    <t>[2024-10-01]</t>
  </si>
  <si>
    <t>[2024-09-30]</t>
  </si>
  <si>
    <t>Production</t>
  </si>
  <si>
    <t>Mesures</t>
  </si>
  <si>
    <t>Documentation</t>
  </si>
  <si>
    <t>[2024-10-07]</t>
  </si>
  <si>
    <t>[2024-10-09]</t>
  </si>
  <si>
    <t>[2024-10-10]</t>
  </si>
  <si>
    <t>[2024-10-11]</t>
  </si>
  <si>
    <t>[2024-10-29]</t>
  </si>
  <si>
    <t>[2024-10-30]</t>
  </si>
  <si>
    <t>[2024-10-28]</t>
  </si>
  <si>
    <t>Programmation</t>
  </si>
  <si>
    <t>Total</t>
  </si>
  <si>
    <t>Carte_electronique_didactique_PittetL02</t>
  </si>
  <si>
    <t>[2025-05-12]</t>
  </si>
  <si>
    <t>[2025-05-13]</t>
  </si>
  <si>
    <t>[2025-05-14]</t>
  </si>
  <si>
    <t>[2025-05-15]</t>
  </si>
  <si>
    <t>[2025-05-16]</t>
  </si>
  <si>
    <t>Réalisation du répertoire GitHub ainsi que l'arborescence du projet sur mon emplacement de travail.</t>
  </si>
  <si>
    <t>Doc</t>
  </si>
  <si>
    <t>Etude du cahier des charges</t>
  </si>
  <si>
    <t>Tests</t>
  </si>
  <si>
    <t>Réalisation du travail pratique module 213 pour revoir le module et spécialement le travail que je vais devoir réalisé pour la suite.                                                                  Mesure du bruit du générateur HP pour se rendre compte de la valeur qu'il faudra ensuite créer à l'aide du PIC.</t>
  </si>
  <si>
    <t>Recherche</t>
  </si>
  <si>
    <t>Recherches sur  comment générer du bruit à l'aide d'un PIC en langage C.</t>
  </si>
  <si>
    <t xml:space="preserve">Il faut trouver un moyen de générer du bruit et d'abaisser la valeur à environ 200mV. </t>
  </si>
  <si>
    <t>Schematic</t>
  </si>
  <si>
    <t>Création d'un premier schéma Bloc</t>
  </si>
  <si>
    <t>Pas encore sûr de savoir quel composants utilisé et surtout comment.</t>
  </si>
  <si>
    <t>Test d'une LDR ainsi que d'un photo-transistor pour pouvoir mieux se rendre compte du travail à effectuer.</t>
  </si>
  <si>
    <t>Après discussion avec Mr.Berset, il a été décidé d'utiliser un photo-transistor plutôt qu'une LDR parce que celle-ci est trop polluante parce qu'elle nécessite du Cadmium à sa fabrication.                                                 Après avoir réalisé les tests, il a été remarqué qu'il fallait augmenter la résistence qui office d'hystérèse (reliant la sortie du comparateur et la pin "+") nouvelle valeure de résistance choisis à 8.2MOhms après plusieurs tests avec plusieurs résistances.</t>
  </si>
  <si>
    <t>Essais d'échanger l'état de la LED pour que ce soit plus réaliste par rapport à la réalité.</t>
  </si>
  <si>
    <t>Il y'a des problèmes d'impédance et il n'y a plus assez d'impédance en entrée pour que le comparateur fonctionne.       Ensuite, j'ai remarqué que cette erreur étais aussi présente avec la led de l'autre sens. J'ai réalisé que c'était à cause du volt-mètre et de sa résistance d'entrée. Après plusieurs tests, rajouter une résistance à la masse et en parrallele au volt-mètre pour réaugmenter l'impédance d'entrée.</t>
  </si>
  <si>
    <t>Composants</t>
  </si>
  <si>
    <t>Recherches des composants sur Digikey</t>
  </si>
  <si>
    <t>Recherche du PIC à utilisé</t>
  </si>
  <si>
    <t>Recherche d'une nouvelle façon de créer du bruit à l'aide d'un PIC. -&gt; PWM</t>
  </si>
  <si>
    <t>Discussion</t>
  </si>
  <si>
    <t xml:space="preserve">Discussion avec Mr.Berset pour éclaircir les zones d'ombres sur le projet.          </t>
  </si>
  <si>
    <t>Pas prendre un pic avec trop d'I/O si pas l'utilité.                                        Mais il faut avoir un DAC ou un ADC encore à définir pour l'utiliser au cas où.</t>
  </si>
  <si>
    <t>Réussir à tout retenir d'une discussion de 3 heures est compliqué à recracher même 15 minutes après. J'aurais du prendre plus de note au fil et à mesure de la conversation.</t>
  </si>
  <si>
    <t>Réalisation du schéma bloc au propore après la discussion avec Mr.Berset.</t>
  </si>
  <si>
    <t>Développement du schéma selon le schéma bloc réalisé auperavant</t>
  </si>
  <si>
    <t>Le choix des résistances n'est pas très évident. Il faut que je me replonge dans les exercices de dimmentionnements.</t>
  </si>
  <si>
    <t>Commande du photo-transistor pour pouvoir faire des tests dans un ou deux jours</t>
  </si>
  <si>
    <t>Pas disponible chez Distrelec, donc commande chez Farnell.</t>
  </si>
  <si>
    <t xml:space="preserve">Remplissage du rapport de travail </t>
  </si>
  <si>
    <t>Ecriture du rapport de travail</t>
  </si>
  <si>
    <t>Création d'un code pour tester la  de bruit.</t>
  </si>
  <si>
    <t>Discussion avec Mr.Berset pour répondre à des questions et valider le schéma</t>
  </si>
  <si>
    <t>Firmware</t>
  </si>
  <si>
    <t>Démonstration sur plaque d'esssai du firmware crée avant. Le résultat est plutôt satisfaisant. Il faut juste avoir un signal un peu plus rond, donc ajout d'un filtre RC.                                                   Réflexion sur comment éviter d'avoir 2 tensions d'alimentation (+5V / -5V). Pas de solution trouvé, donc on reste avec deux sources.                         Correction du schéma, des résistances pour la partie additionneur peuvent être optimiser et faire la tension voulu directement avec le gain.</t>
  </si>
  <si>
    <t>Correction du schéma.</t>
  </si>
  <si>
    <t>Problème rencontré / Développement</t>
  </si>
  <si>
    <t>Remplissage du rapport de travail ainsi que le rapport de développement</t>
  </si>
  <si>
    <t>Création du schéma sur Altium</t>
  </si>
  <si>
    <t>Test sur plaque d'essai en ajoutant un suiveur pour pouvoir visualiser l'effet du bruit générer par le pic sur la Led.</t>
  </si>
  <si>
    <t xml:space="preserve">Discussion avec Mr.Berset </t>
  </si>
  <si>
    <t xml:space="preserve">Réflexion de comment inverser le signal sans à devoir ajouter un inverseur. Solution --&gt; inverser les deux tensions que l'on inverse pour que par la suite, l'additionneur INVERSEUR redonne une valeur positive.                                       </t>
  </si>
  <si>
    <t>Test du schéma final sur TINA avec différents tests pour pouvoir ajuster une résistance</t>
  </si>
  <si>
    <t>Début du projet Altium, création des librairies.                 Créations des empreintes et des symboles.                        Début de placement des composants sur le schéma.</t>
  </si>
  <si>
    <t xml:space="preserve">1ère semaine où j'ai dû avoir beaucoup de réflexion et d'aide aussi pour pouvoir avancer dans la bonne direction. Mais maintenant que les gros points ont été traité, je peux maintenant avancer plus en autonomie. Je suis dans les temps si l'on regarde mon planning. </t>
  </si>
  <si>
    <t>[2025-05-19]</t>
  </si>
  <si>
    <t>[2025-05-20]</t>
  </si>
  <si>
    <t>[2025-05-21]</t>
  </si>
  <si>
    <t>[2025-05-22]</t>
  </si>
  <si>
    <t>[2025-05-23]</t>
  </si>
  <si>
    <t>Finalisation des empreintes et du schéma sur Altium</t>
  </si>
  <si>
    <t>Test DRC efféctué sans erreur</t>
  </si>
  <si>
    <t>Remplissage rpt de travail et de développement</t>
  </si>
  <si>
    <t>Test</t>
  </si>
  <si>
    <t xml:space="preserve">Test avec le nouveau photo-tranistor pour détérminer la résistance pour qu'à lumière ambiante, la tension de seuil soit d'environ de 2.5V </t>
  </si>
  <si>
    <t>PCB</t>
  </si>
  <si>
    <t>Début de la conception du PCB sur Altium</t>
  </si>
  <si>
    <t xml:space="preserve">Création et remplissage de la BOM                       Importation empreintes 3D                                                              </t>
  </si>
  <si>
    <t>Changement de résistence de 6k8 à 10k</t>
  </si>
  <si>
    <t>Layout</t>
  </si>
  <si>
    <t>Placement des composants et routage.</t>
  </si>
  <si>
    <t>Corrections des erreurs de routage et placement.</t>
  </si>
  <si>
    <t>Visite des experts.</t>
  </si>
  <si>
    <t>Recherche d'un rail pour le capteur pour pouvoir facilement cacher la lumière et précisément.</t>
  </si>
  <si>
    <t>Rien trouvé d'intéressant.</t>
  </si>
  <si>
    <t>Discussion sur l'état du projet.</t>
  </si>
  <si>
    <t>Modifications et perfectionnement du routage/placement des composants pour répondre au mieux au souhait de M.Berset.</t>
  </si>
  <si>
    <t>Commande du PCB</t>
  </si>
  <si>
    <t>Replacement des résistances côté BOT pour qu'elles soient plus proche de l'IC et pour que les pistes soient moins longues.                                                    Je remarque que le placement des composants fait 80% du travail du Layout. Le routage se facilite vraiment et est de meilleure qualité avec un placement judicieux.</t>
  </si>
  <si>
    <t>Commande du PCB sur EuroCircuit. Exportation des fichiers gerbers et tri de ceux-ci. (Le Coutryhard n'est par exemple pas important pour Eurocircuit.)</t>
  </si>
  <si>
    <t>Prog</t>
  </si>
  <si>
    <t>Création du firmware pour le nouveau pic reçu aujourd'hui.</t>
  </si>
  <si>
    <t>Test sur plaque d'essai avec le nouveau PIC</t>
  </si>
  <si>
    <t>Même résultat qu'avec l'autre PIC après les mesures à l'oscilloscope pour observer le signal.</t>
  </si>
  <si>
    <t>Git</t>
  </si>
  <si>
    <t>Release sur GitHub pour avoir la version du PCB voyante sur GitHub.com</t>
  </si>
  <si>
    <t>Commande des composants pour 5 prototype</t>
  </si>
  <si>
    <t>Commande d'une boite de rangement pour le projet</t>
  </si>
  <si>
    <t>J'ai passé plus temps cette semaine sur le rapport de développement pour rattraper mon retard pris la première semaine sur ce document. Il est maintenant à jour quotidiennement.                                                                                                                                     La commande du PCB a été effectué, de même pour les composants. Je suis dans les temps avec même un peu d'avance car le code a été rapidement créer.                     Il me reste à finir mes rapports et de faire un bon protocole de mise en service pour la production. L'assemblage de la carte se fera à la main. Il faudra ensuite faire des mesures pour démontrer le bon fonctionnement de la carte.                                                                                                  Je ne dois pas oublier que jeudi prochain est un jour férié. Je ne dois donc pas trop chômé en penssant avoir de l'avance pour ne pas me retrouver surpris en fin de TPI.</t>
  </si>
  <si>
    <t xml:space="preserve">Discussion avec M.Berset.                  Modifications et perfectionnement du routage/placement des composants pour répondre au mieux au souhait de M.Berset.                                              Validation de M.Berset de la schematic ainsi que du layout. </t>
  </si>
  <si>
    <t>Réalisation du Protocole de mise en service.</t>
  </si>
  <si>
    <t>La partie comparateur n'a pas la même impédance d'entrée que la sortie du capteur donc il y'a des problèmes lorsque la contre réaction (hystérèse)est branchée. Il faut mettre un conditioneur entre le capteur et le comparateur pour éviter ce problème. Suiveur?                                           Nous devons changer de capteur photo-transistor parce-que celui "proposer" n'est plus disponible. Nous avons donc fait des recherches quand à la fiabilité du nouveau capteur dans notre environnement de travail.                            Ellaboration d'un schéma bloc pour être plus clair dans nos idées. 2 propositions y sont ressortis. Une plus simple à réalisé et une autre plus compliqué. Nous allons partir sur la plus simple des deux.                             Mettre un deuxième capteur photo-transistor pour avoir une lumière de référence pour ainsi pouvoir soustraire la valeur mesuré par le capteur "normal" par le capteur de référence.                         Réflexion de comment être plus précis pour voir l'hystérèse. Au lieu d'approcher et d'éloigner la main, on met un cache lumière sur les côtés pour pas être perturbé par la lumière "parasite" et on viendra faire coulisser un petit cache horizontalement pour être précis et voir correctement l'effet de l'hystérèse.                                   Réflexion sur le moyen de générer du bruit. La méthode "Bruit numérique par pseudo-aléatoire (LFSR)" que j'avais trouvé fera l'affaire. C'est l'une des méthodes la plus simple à réalisé. La méthode par PWM a été jugé trop compliqué à designé.                                                         Réflexion si l'on préfère faire un PCB plutôt orienté qualité ou prix. Pour cette application, on préférera un PCB de qualité. (Bien sûr que l'on va faire attention à prendre les composants les moins chers possible) Par exemple, j'ai posé la question si Mr.Berset préférait un jumper pour le prix, ou un switch pour la qualité.</t>
  </si>
  <si>
    <t>Fwr</t>
  </si>
  <si>
    <t>Création d'un structo gramme</t>
  </si>
  <si>
    <t>Collecte des composants et checklist</t>
  </si>
  <si>
    <t>Il me manque 5 phototransistor que j'ai oublié de commandé (première commande effectué la première semaine)                        J'ai commandé des condensateurs 100nF THT au lieu de SMD.                  Nouvelle commande pour compléter le stock avant que le PCB arrive</t>
  </si>
  <si>
    <t xml:space="preserve">M.Berset a remarqué une erreur…                    Le comparateur a été routé du mauvais sens… Donc la pin - et + sont inversées. De même pour les pins d'alimentations. Il faudra donc faire un peu de bricolage sur la carte.                                    Cette erreur est survenu après avoir changé le symbole de l'AOP. J'ai donc dû enlever et remettre le composants sur le schéma. Cependant, je n'ai pas pensé qu'il fallait de nouveau le remettre dans le bon sens(tourné de 180° puis miroir)... Manque de concentration sur ce coup...                     C'est dommage d'avoir une erreur de schematic autant bête. Et c'est surtout des choses comme cela que je dois contrôler avant de sortir les fichiers gerbers... </t>
  </si>
  <si>
    <t>Triage des composants dans une boite que j'ai commandé pour le rangement. Etiquetage de chaque partie.</t>
  </si>
  <si>
    <t xml:space="preserve">Optimisation du code </t>
  </si>
  <si>
    <t>Mesure à l'osciolloscope du signal de bruit</t>
  </si>
  <si>
    <t>Prodduction</t>
  </si>
  <si>
    <t>Montage PCB en faisant la mise en service.</t>
  </si>
  <si>
    <t>Commande PCB</t>
  </si>
  <si>
    <t>Commande du nouveau PCB avec les modifications pour avoir un PCB clean pour la présentation.</t>
  </si>
  <si>
    <t>J'ai effectué beacoup de documentation étant donné que je devais attendre le PCB et que la partie programmation a été réalisé beaucoup plus vite que prévu.</t>
  </si>
  <si>
    <t>[2025-05-30]</t>
  </si>
  <si>
    <t>[2025-05-29]</t>
  </si>
  <si>
    <t>[2025-05-28]</t>
  </si>
  <si>
    <t>[2025-05-27]</t>
  </si>
  <si>
    <t>[2025-05-26]</t>
  </si>
  <si>
    <t>Modifications dernières erreures pour pouvoir commander une nouvelle version pour la présentation</t>
  </si>
  <si>
    <t>[2025-06-02]</t>
  </si>
  <si>
    <t>[2025-06-03]</t>
  </si>
  <si>
    <t>[2025-06-04]</t>
  </si>
  <si>
    <t>Remplissage rpt de travail, de développement et de l'arboréscence</t>
  </si>
  <si>
    <t>Fin du projet. J'ai réussi à le mener au bout. Cette dernière semaine a été très documentative. J'ai mis à jour toute l'arboréscence avec l'ajout de toutes mes prises de notes. J'ai terminé mon rapport de développement ainsi que de travail. J'ai fait en sorte de rendre tous les documents.</t>
  </si>
  <si>
    <t>Recherches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</si>
</sst>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color theme="1"/>
      <name val="Courier New"/>
      <family val="3"/>
    </font>
    <font>
      <b/>
      <sz val="10"/>
      <color theme="1"/>
      <name val="Courier New"/>
      <family val="3"/>
    </font>
    <font>
      <sz val="8"/>
      <color theme="1"/>
      <name val="Courier New"/>
      <family val="3"/>
    </font>
    <font>
      <sz val="8"/>
      <name val="Courier New"/>
      <family val="3"/>
    </font>
    <font>
      <sz val="8"/>
      <color rgb="FFFF0000"/>
      <name val="Courier New"/>
      <family val="3"/>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2" fillId="0" borderId="0" xfId="0" applyFont="1" applyAlignment="1">
      <alignment horizontal="right" vertical="top"/>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164" fontId="4" fillId="0" borderId="1" xfId="0" applyNumberFormat="1" applyFont="1" applyBorder="1" applyProtection="1">
      <protection locked="0"/>
    </xf>
    <xf numFmtId="0" fontId="2" fillId="0" borderId="0" xfId="0" applyFont="1" applyAlignment="1">
      <alignment horizontal="lef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0" borderId="0" xfId="0" applyFont="1"/>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164" fontId="4" fillId="0" borderId="3" xfId="0" applyNumberFormat="1" applyFont="1" applyBorder="1" applyProtection="1">
      <protection locked="0"/>
    </xf>
    <xf numFmtId="0" fontId="3" fillId="2" borderId="8" xfId="0" applyFont="1" applyFill="1" applyBorder="1"/>
    <xf numFmtId="0" fontId="3" fillId="0" borderId="3" xfId="0" applyFont="1" applyBorder="1" applyAlignment="1">
      <alignment horizontal="left"/>
    </xf>
    <xf numFmtId="0" fontId="3" fillId="2" borderId="1" xfId="0" applyFont="1" applyFill="1" applyBorder="1"/>
    <xf numFmtId="0" fontId="3" fillId="2" borderId="1" xfId="0" applyFont="1" applyFill="1" applyBorder="1" applyAlignment="1">
      <alignment horizontal="right" vertical="center"/>
    </xf>
    <xf numFmtId="164" fontId="4" fillId="2" borderId="1" xfId="0" applyNumberFormat="1" applyFont="1" applyFill="1" applyBorder="1" applyAlignment="1" applyProtection="1">
      <alignment horizontal="right" vertical="center"/>
      <protection locked="0"/>
    </xf>
    <xf numFmtId="0" fontId="3" fillId="2" borderId="7" xfId="0" applyFont="1" applyFill="1" applyBorder="1" applyProtection="1">
      <protection locked="0"/>
    </xf>
    <xf numFmtId="0" fontId="3" fillId="2" borderId="7" xfId="0" applyFont="1" applyFill="1" applyBorder="1" applyAlignment="1" applyProtection="1">
      <alignment horizontal="right" vertical="center"/>
      <protection locked="0"/>
    </xf>
    <xf numFmtId="164" fontId="4" fillId="2" borderId="7" xfId="0" applyNumberFormat="1" applyFont="1" applyFill="1" applyBorder="1" applyAlignment="1" applyProtection="1">
      <alignment horizontal="right" vertical="center"/>
      <protection locked="0"/>
    </xf>
    <xf numFmtId="164" fontId="4" fillId="2" borderId="3" xfId="0" applyNumberFormat="1" applyFont="1" applyFill="1" applyBorder="1" applyAlignment="1" applyProtection="1">
      <alignment horizontal="right" vertical="center"/>
      <protection locked="0"/>
    </xf>
    <xf numFmtId="0" fontId="3" fillId="0" borderId="0" xfId="0" applyFont="1" applyAlignment="1">
      <alignment wrapText="1"/>
    </xf>
    <xf numFmtId="0" fontId="3" fillId="0" borderId="2" xfId="0" applyFont="1" applyBorder="1" applyAlignment="1">
      <alignment horizontal="left" vertical="top" wrapText="1"/>
    </xf>
    <xf numFmtId="0" fontId="3" fillId="0" borderId="1" xfId="0" applyFont="1" applyBorder="1" applyAlignment="1">
      <alignment horizontal="left"/>
    </xf>
    <xf numFmtId="0" fontId="3" fillId="2" borderId="1" xfId="0" applyFont="1" applyFill="1" applyBorder="1" applyProtection="1">
      <protection locked="0"/>
    </xf>
    <xf numFmtId="0" fontId="3" fillId="0" borderId="1" xfId="0" applyFont="1" applyBorder="1" applyAlignment="1">
      <alignment vertical="top" wrapText="1"/>
    </xf>
    <xf numFmtId="0" fontId="3" fillId="0" borderId="4" xfId="0" applyFont="1" applyBorder="1" applyAlignment="1">
      <alignment vertical="top"/>
    </xf>
    <xf numFmtId="0" fontId="3" fillId="0" borderId="1" xfId="0" applyFont="1" applyBorder="1"/>
    <xf numFmtId="0" fontId="3" fillId="0" borderId="1" xfId="0" applyFont="1" applyBorder="1" applyAlignment="1">
      <alignment wrapText="1"/>
    </xf>
    <xf numFmtId="0" fontId="3" fillId="0" borderId="0" xfId="0" applyFont="1" applyAlignment="1">
      <alignment vertical="top"/>
    </xf>
    <xf numFmtId="0" fontId="3" fillId="0" borderId="0" xfId="0" applyFont="1" applyAlignment="1">
      <alignment vertical="top" wrapText="1"/>
    </xf>
    <xf numFmtId="0" fontId="3" fillId="0" borderId="4" xfId="0" applyFont="1" applyBorder="1" applyAlignment="1">
      <alignment horizontal="left" vertical="top" wrapText="1"/>
    </xf>
    <xf numFmtId="0" fontId="3" fillId="0" borderId="9" xfId="0" applyFont="1" applyBorder="1" applyAlignment="1">
      <alignment horizontal="left" vertical="top" wrapText="1"/>
    </xf>
    <xf numFmtId="0" fontId="3" fillId="0" borderId="2" xfId="0" applyFont="1" applyBorder="1" applyAlignment="1">
      <alignment horizontal="left" vertical="top" wrapText="1"/>
    </xf>
    <xf numFmtId="0" fontId="3" fillId="2" borderId="4" xfId="0" applyFont="1" applyFill="1" applyBorder="1" applyAlignment="1">
      <alignment vertical="center"/>
    </xf>
    <xf numFmtId="0" fontId="3" fillId="2" borderId="9" xfId="0" applyFont="1" applyFill="1" applyBorder="1" applyAlignment="1">
      <alignment vertical="center"/>
    </xf>
    <xf numFmtId="0" fontId="3" fillId="2" borderId="2" xfId="0" applyFont="1" applyFill="1" applyBorder="1" applyAlignment="1">
      <alignment vertical="center"/>
    </xf>
    <xf numFmtId="0" fontId="2" fillId="0" borderId="10" xfId="0" applyFont="1" applyBorder="1" applyAlignment="1">
      <alignment horizontal="center"/>
    </xf>
    <xf numFmtId="0" fontId="3" fillId="2" borderId="1" xfId="0" applyFont="1" applyFill="1" applyBorder="1" applyAlignment="1">
      <alignment vertical="center"/>
    </xf>
    <xf numFmtId="0" fontId="3" fillId="2" borderId="1" xfId="0" applyFont="1" applyFill="1" applyBorder="1" applyAlignment="1">
      <alignment horizontal="left" vertical="center"/>
    </xf>
    <xf numFmtId="0" fontId="3" fillId="0" borderId="7" xfId="0" applyFont="1" applyBorder="1" applyAlignment="1">
      <alignment horizontal="left"/>
    </xf>
    <xf numFmtId="0" fontId="3" fillId="0" borderId="8" xfId="0" applyFont="1" applyBorder="1" applyAlignment="1">
      <alignment horizontal="left"/>
    </xf>
    <xf numFmtId="0" fontId="3" fillId="0" borderId="11" xfId="0" applyFont="1" applyBorder="1" applyAlignment="1">
      <alignment horizontal="center" vertical="top" wrapText="1"/>
    </xf>
    <xf numFmtId="0" fontId="3" fillId="0" borderId="0" xfId="0" applyFont="1" applyAlignment="1">
      <alignment horizontal="center" vertical="top" wrapText="1"/>
    </xf>
  </cellXfs>
  <cellStyles count="1">
    <cellStyle name="Normal" xfId="0" builtinId="0"/>
  </cellStyles>
  <dxfs count="32">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fr-CH"/>
              <a:t>Graphique</a:t>
            </a:r>
            <a:r>
              <a:rPr lang="fr-CH" baseline="0"/>
              <a:t> des heures effectués</a:t>
            </a:r>
            <a:endParaRPr lang="fr-CH"/>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fr-CH"/>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435-4535-B240-6A0044029AA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435-4535-B240-6A0044029AA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435-4535-B240-6A0044029AA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435-4535-B240-6A0044029AA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435-4535-B240-6A0044029AA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435-4535-B240-6A0044029AA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9435-4535-B240-6A0044029AA7}"/>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9435-4535-B240-6A0044029AA7}"/>
              </c:ext>
            </c:extLst>
          </c:dPt>
          <c:dLbls>
            <c:dLbl>
              <c:idx val="7"/>
              <c:layout>
                <c:manualLayout>
                  <c:x val="8.7366051955143787E-3"/>
                  <c:y val="7.5553311255685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9435-4535-B240-6A0044029AA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total!$B$4:$B$11</c:f>
              <c:strCache>
                <c:ptCount val="8"/>
                <c:pt idx="0">
                  <c:v>Discussion</c:v>
                </c:pt>
                <c:pt idx="1">
                  <c:v>PCB</c:v>
                </c:pt>
                <c:pt idx="2">
                  <c:v>Programmation</c:v>
                </c:pt>
                <c:pt idx="3">
                  <c:v>Production</c:v>
                </c:pt>
                <c:pt idx="4">
                  <c:v>Tests</c:v>
                </c:pt>
                <c:pt idx="5">
                  <c:v>Documentation</c:v>
                </c:pt>
                <c:pt idx="6">
                  <c:v>Schematic</c:v>
                </c:pt>
                <c:pt idx="7">
                  <c:v>Recherches</c:v>
                </c:pt>
              </c:strCache>
            </c:strRef>
          </c:cat>
          <c:val>
            <c:numRef>
              <c:f>total!$C$4:$C$11</c:f>
              <c:numCache>
                <c:formatCode>General</c:formatCode>
                <c:ptCount val="8"/>
                <c:pt idx="0">
                  <c:v>7.5</c:v>
                </c:pt>
                <c:pt idx="1">
                  <c:v>16</c:v>
                </c:pt>
                <c:pt idx="2">
                  <c:v>5.5</c:v>
                </c:pt>
                <c:pt idx="3">
                  <c:v>15</c:v>
                </c:pt>
                <c:pt idx="4">
                  <c:v>14.5</c:v>
                </c:pt>
                <c:pt idx="5">
                  <c:v>41</c:v>
                </c:pt>
                <c:pt idx="6">
                  <c:v>13.5</c:v>
                </c:pt>
                <c:pt idx="7">
                  <c:v>5</c:v>
                </c:pt>
              </c:numCache>
            </c:numRef>
          </c:val>
          <c:extLst>
            <c:ext xmlns:c16="http://schemas.microsoft.com/office/drawing/2014/chart" uri="{C3380CC4-5D6E-409C-BE32-E72D297353CC}">
              <c16:uniqueId val="{00000000-7676-4F5B-B10C-7785097AA594}"/>
            </c:ext>
          </c:extLst>
        </c:ser>
        <c:dLbls>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fr-CH"/>
              <a:t>Graphique des heures prévu</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FC5C-4852-A93F-E1D851FD484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C5C-4852-A93F-E1D851FD484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FC5C-4852-A93F-E1D851FD484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C5C-4852-A93F-E1D851FD484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FC5C-4852-A93F-E1D851FD484D}"/>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C5C-4852-A93F-E1D851FD484D}"/>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C5C-4852-A93F-E1D851FD484D}"/>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C5C-4852-A93F-E1D851FD484D}"/>
              </c:ext>
            </c:extLst>
          </c:dPt>
          <c:dLbls>
            <c:dLbl>
              <c:idx val="0"/>
              <c:tx>
                <c:rich>
                  <a:bodyPr/>
                  <a:lstStyle/>
                  <a:p>
                    <a:r>
                      <a:rPr lang="en-US" baseline="0"/>
                      <a:t> </a:t>
                    </a:r>
                    <a:fld id="{1A5E8BC6-929C-45BD-9A95-E4572A61E630}" type="PERCENTAGE">
                      <a:rPr lang="en-US" baseline="0"/>
                      <a:pPr/>
                      <a:t>[POURCENTAGE]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C5C-4852-A93F-E1D851FD484D}"/>
                </c:ext>
              </c:extLst>
            </c:dLbl>
            <c:dLbl>
              <c:idx val="1"/>
              <c:tx>
                <c:rich>
                  <a:bodyPr/>
                  <a:lstStyle/>
                  <a:p>
                    <a:fld id="{FBDD90A3-7F4E-4EAC-8218-237C6E03FDC4}" type="PERCENTAGE">
                      <a:rPr lang="en-US" baseline="0"/>
                      <a:pPr/>
                      <a:t>[POURCENTAGE]</a:t>
                    </a:fld>
                    <a:endParaRPr lang="fr-CH"/>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C5C-4852-A93F-E1D851FD484D}"/>
                </c:ext>
              </c:extLst>
            </c:dLbl>
            <c:dLbl>
              <c:idx val="2"/>
              <c:tx>
                <c:rich>
                  <a:bodyPr/>
                  <a:lstStyle/>
                  <a:p>
                    <a:fld id="{B215D4A7-5135-4168-9CEC-35526489D26B}" type="PERCENTAGE">
                      <a:rPr lang="en-US" baseline="0"/>
                      <a:pPr/>
                      <a:t>[POURCENTAGE]</a:t>
                    </a:fld>
                    <a:endParaRPr lang="fr-CH"/>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FC5C-4852-A93F-E1D851FD484D}"/>
                </c:ext>
              </c:extLst>
            </c:dLbl>
            <c:dLbl>
              <c:idx val="3"/>
              <c:tx>
                <c:rich>
                  <a:bodyPr/>
                  <a:lstStyle/>
                  <a:p>
                    <a:fld id="{5C6F8DE3-AFD7-471C-865E-A3AB3BFBAA8E}" type="PERCENTAGE">
                      <a:rPr lang="en-US" baseline="0"/>
                      <a:pPr/>
                      <a:t>[POURCENTAGE]</a:t>
                    </a:fld>
                    <a:endParaRPr lang="fr-CH"/>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C5C-4852-A93F-E1D851FD484D}"/>
                </c:ext>
              </c:extLst>
            </c:dLbl>
            <c:dLbl>
              <c:idx val="4"/>
              <c:tx>
                <c:rich>
                  <a:bodyPr/>
                  <a:lstStyle/>
                  <a:p>
                    <a:fld id="{46151A90-52FB-4636-9B81-B86D473888F0}" type="PERCENTAGE">
                      <a:rPr lang="en-US" baseline="0"/>
                      <a:pPr/>
                      <a:t>[POURCENTAGE]</a:t>
                    </a:fld>
                    <a:endParaRPr lang="fr-CH"/>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FC5C-4852-A93F-E1D851FD484D}"/>
                </c:ext>
              </c:extLst>
            </c:dLbl>
            <c:dLbl>
              <c:idx val="5"/>
              <c:tx>
                <c:rich>
                  <a:bodyPr/>
                  <a:lstStyle/>
                  <a:p>
                    <a:r>
                      <a:rPr lang="en-US" baseline="0"/>
                      <a:t> </a:t>
                    </a:r>
                    <a:fld id="{05318B57-499F-4444-9D3F-78BF83EEE8C9}" type="PERCENTAGE">
                      <a:rPr lang="en-US" baseline="0"/>
                      <a:pPr/>
                      <a:t>[POURCENTAGE]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C5C-4852-A93F-E1D851FD484D}"/>
                </c:ext>
              </c:extLst>
            </c:dLbl>
            <c:dLbl>
              <c:idx val="6"/>
              <c:tx>
                <c:rich>
                  <a:bodyPr/>
                  <a:lstStyle/>
                  <a:p>
                    <a:fld id="{DF1E1856-5B12-4D18-9A29-2F2A12170496}" type="PERCENTAGE">
                      <a:rPr lang="en-US" baseline="0"/>
                      <a:pPr/>
                      <a:t>[POURCENTAGE]</a:t>
                    </a:fld>
                    <a:endParaRPr lang="fr-CH"/>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C5C-4852-A93F-E1D851FD484D}"/>
                </c:ext>
              </c:extLst>
            </c:dLbl>
            <c:dLbl>
              <c:idx val="7"/>
              <c:tx>
                <c:rich>
                  <a:bodyPr/>
                  <a:lstStyle/>
                  <a:p>
                    <a:fld id="{880495CA-4DBD-4170-81F4-B86D7218C77E}" type="PERCENTAGE">
                      <a:rPr lang="en-US"/>
                      <a:pPr/>
                      <a:t>[POURCENTAGE]</a:t>
                    </a:fld>
                    <a:endParaRPr lang="fr-CH"/>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C5C-4852-A93F-E1D851FD484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total!$B$20:$B$27</c:f>
              <c:strCache>
                <c:ptCount val="8"/>
                <c:pt idx="0">
                  <c:v>Discussion</c:v>
                </c:pt>
                <c:pt idx="1">
                  <c:v>PCB</c:v>
                </c:pt>
                <c:pt idx="2">
                  <c:v>Programmation</c:v>
                </c:pt>
                <c:pt idx="3">
                  <c:v>Production</c:v>
                </c:pt>
                <c:pt idx="4">
                  <c:v>Tests</c:v>
                </c:pt>
                <c:pt idx="5">
                  <c:v>Documentation</c:v>
                </c:pt>
                <c:pt idx="6">
                  <c:v>Schematic</c:v>
                </c:pt>
                <c:pt idx="7">
                  <c:v>Recherches</c:v>
                </c:pt>
              </c:strCache>
            </c:strRef>
          </c:cat>
          <c:val>
            <c:numRef>
              <c:f>total!$C$20:$C$27</c:f>
              <c:numCache>
                <c:formatCode>General</c:formatCode>
                <c:ptCount val="8"/>
                <c:pt idx="0">
                  <c:v>5</c:v>
                </c:pt>
                <c:pt idx="1">
                  <c:v>20</c:v>
                </c:pt>
                <c:pt idx="2">
                  <c:v>16</c:v>
                </c:pt>
                <c:pt idx="3">
                  <c:v>16</c:v>
                </c:pt>
                <c:pt idx="4">
                  <c:v>12</c:v>
                </c:pt>
                <c:pt idx="5">
                  <c:v>30</c:v>
                </c:pt>
                <c:pt idx="6">
                  <c:v>11</c:v>
                </c:pt>
                <c:pt idx="7">
                  <c:v>8</c:v>
                </c:pt>
              </c:numCache>
            </c:numRef>
          </c:val>
          <c:extLst>
            <c:ext xmlns:c16="http://schemas.microsoft.com/office/drawing/2014/chart" uri="{C3380CC4-5D6E-409C-BE32-E72D297353CC}">
              <c16:uniqueId val="{00000000-FC5C-4852-A93F-E1D851FD484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ln>
                <a:noFill/>
              </a:ln>
              <a:solidFill>
                <a:schemeClr val="dk1">
                  <a:lumMod val="65000"/>
                  <a:lumOff val="35000"/>
                </a:schemeClr>
              </a:solidFill>
              <a:latin typeface="+mn-lt"/>
              <a:ea typeface="+mn-ea"/>
              <a:cs typeface="+mn-cs"/>
            </a:defRPr>
          </a:pPr>
          <a:endParaRPr lang="fr-FR"/>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605649</xdr:colOff>
      <xdr:row>2</xdr:row>
      <xdr:rowOff>164648</xdr:rowOff>
    </xdr:from>
    <xdr:to>
      <xdr:col>11</xdr:col>
      <xdr:colOff>23812</xdr:colOff>
      <xdr:row>19</xdr:row>
      <xdr:rowOff>23811</xdr:rowOff>
    </xdr:to>
    <xdr:graphicFrame macro="">
      <xdr:nvGraphicFramePr>
        <xdr:cNvPr id="3" name="Graphique 2">
          <a:extLst>
            <a:ext uri="{FF2B5EF4-FFF2-40B4-BE49-F238E27FC236}">
              <a16:creationId xmlns:a16="http://schemas.microsoft.com/office/drawing/2014/main" id="{9A2D217F-D69E-411C-EC14-9D13E38F6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660538</xdr:colOff>
      <xdr:row>19</xdr:row>
      <xdr:rowOff>178283</xdr:rowOff>
    </xdr:from>
    <xdr:to>
      <xdr:col>10</xdr:col>
      <xdr:colOff>660538</xdr:colOff>
      <xdr:row>34</xdr:row>
      <xdr:rowOff>63983</xdr:rowOff>
    </xdr:to>
    <xdr:graphicFrame macro="">
      <xdr:nvGraphicFramePr>
        <xdr:cNvPr id="6" name="Graphique 5">
          <a:extLst>
            <a:ext uri="{FF2B5EF4-FFF2-40B4-BE49-F238E27FC236}">
              <a16:creationId xmlns:a16="http://schemas.microsoft.com/office/drawing/2014/main" id="{206B9F91-C893-9841-CCE6-7665740DE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48C7-26D3-4355-9443-CFC00CAB1D6D}">
  <dimension ref="A1"/>
  <sheetViews>
    <sheetView workbookViewId="0"/>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
  <sheetViews>
    <sheetView zoomScale="85" zoomScaleNormal="85" workbookViewId="0">
      <pane ySplit="4" topLeftCell="A24" activePane="bottomLeft" state="frozen"/>
      <selection pane="bottomLeft" activeCell="L19" sqref="L19"/>
    </sheetView>
  </sheetViews>
  <sheetFormatPr baseColWidth="10" defaultColWidth="11.42578125" defaultRowHeight="13.5" x14ac:dyDescent="0.25"/>
  <cols>
    <col min="1" max="1" width="12" style="1" customWidth="1"/>
    <col min="2" max="2" width="26.28515625" style="1" customWidth="1"/>
    <col min="3" max="3" width="10.7109375" style="1" customWidth="1"/>
    <col min="4" max="4" width="29.28515625" style="1" customWidth="1"/>
    <col min="5" max="5" width="35.5703125" style="1" customWidth="1"/>
    <col min="6" max="6" width="7" style="1" customWidth="1"/>
    <col min="7" max="7" width="8.28515625" style="1" customWidth="1"/>
    <col min="8" max="16384" width="11.42578125" style="1"/>
  </cols>
  <sheetData>
    <row r="1" spans="1:7" ht="12" customHeight="1" x14ac:dyDescent="0.25">
      <c r="A1" s="2" t="s">
        <v>15</v>
      </c>
      <c r="B1" s="2"/>
      <c r="C1" s="2"/>
      <c r="D1" s="7" t="s">
        <v>14</v>
      </c>
      <c r="E1" s="2"/>
      <c r="F1" s="2"/>
      <c r="G1" s="3" t="s">
        <v>13</v>
      </c>
    </row>
    <row r="2" spans="1:7" ht="12" customHeight="1" x14ac:dyDescent="0.25">
      <c r="A2" s="39" t="s">
        <v>19</v>
      </c>
      <c r="B2" s="39"/>
      <c r="C2" s="2"/>
      <c r="D2" s="2"/>
      <c r="E2" s="2"/>
      <c r="F2" s="2"/>
      <c r="G2" s="2"/>
    </row>
    <row r="3" spans="1:7" s="10" customFormat="1" ht="12" customHeight="1" x14ac:dyDescent="0.2">
      <c r="A3" s="40" t="s">
        <v>0</v>
      </c>
      <c r="B3" s="40" t="s">
        <v>1</v>
      </c>
      <c r="C3" s="41" t="s">
        <v>16</v>
      </c>
      <c r="D3" s="40" t="s">
        <v>17</v>
      </c>
      <c r="E3" s="36" t="s">
        <v>83</v>
      </c>
      <c r="F3" s="8" t="s">
        <v>2</v>
      </c>
      <c r="G3" s="9" t="s">
        <v>4</v>
      </c>
    </row>
    <row r="4" spans="1:7" s="10" customFormat="1" ht="12" customHeight="1" x14ac:dyDescent="0.2">
      <c r="A4" s="40"/>
      <c r="B4" s="40"/>
      <c r="C4" s="41"/>
      <c r="D4" s="40"/>
      <c r="E4" s="36"/>
      <c r="F4" s="11" t="s">
        <v>3</v>
      </c>
      <c r="G4" s="12" t="s">
        <v>3</v>
      </c>
    </row>
    <row r="5" spans="1:7" s="10" customFormat="1" ht="56.25" x14ac:dyDescent="0.2">
      <c r="A5" s="42" t="s">
        <v>6</v>
      </c>
      <c r="B5" s="5" t="s">
        <v>42</v>
      </c>
      <c r="C5" s="5" t="s">
        <v>49</v>
      </c>
      <c r="D5" s="5" t="s">
        <v>48</v>
      </c>
      <c r="E5" s="5"/>
      <c r="F5" s="13">
        <v>1</v>
      </c>
      <c r="G5" s="14"/>
    </row>
    <row r="6" spans="1:7" s="10" customFormat="1" ht="11.25" x14ac:dyDescent="0.2">
      <c r="A6" s="43"/>
      <c r="B6" s="5"/>
      <c r="C6" s="5" t="s">
        <v>49</v>
      </c>
      <c r="D6" s="5" t="s">
        <v>50</v>
      </c>
      <c r="E6" s="5"/>
      <c r="F6" s="13">
        <v>1</v>
      </c>
      <c r="G6" s="14"/>
    </row>
    <row r="7" spans="1:7" s="10" customFormat="1" ht="123.75" x14ac:dyDescent="0.2">
      <c r="A7" s="43"/>
      <c r="B7" s="5"/>
      <c r="C7" s="5" t="s">
        <v>51</v>
      </c>
      <c r="D7" s="5" t="s">
        <v>52</v>
      </c>
      <c r="E7" s="5"/>
      <c r="F7" s="13">
        <v>1.5</v>
      </c>
      <c r="G7" s="14"/>
    </row>
    <row r="8" spans="1:7" s="10" customFormat="1" ht="33.75" x14ac:dyDescent="0.2">
      <c r="A8" s="43"/>
      <c r="B8" s="4"/>
      <c r="C8" s="4" t="s">
        <v>53</v>
      </c>
      <c r="D8" s="4" t="s">
        <v>54</v>
      </c>
      <c r="E8" s="4" t="s">
        <v>55</v>
      </c>
      <c r="F8" s="6">
        <v>2</v>
      </c>
      <c r="G8" s="14"/>
    </row>
    <row r="9" spans="1:7" s="10" customFormat="1" ht="33.75" x14ac:dyDescent="0.2">
      <c r="A9" s="43"/>
      <c r="B9" s="4"/>
      <c r="C9" s="4" t="s">
        <v>56</v>
      </c>
      <c r="D9" s="4" t="s">
        <v>57</v>
      </c>
      <c r="E9" s="4" t="s">
        <v>58</v>
      </c>
      <c r="F9" s="6">
        <v>1</v>
      </c>
      <c r="G9" s="14"/>
    </row>
    <row r="10" spans="1:7" s="10" customFormat="1" ht="22.5" x14ac:dyDescent="0.2">
      <c r="A10" s="43"/>
      <c r="B10" s="4"/>
      <c r="C10" s="4" t="s">
        <v>49</v>
      </c>
      <c r="D10" s="4" t="s">
        <v>77</v>
      </c>
      <c r="E10" s="4"/>
      <c r="F10" s="6">
        <v>0.5</v>
      </c>
      <c r="G10" s="14"/>
    </row>
    <row r="11" spans="1:7" s="10" customFormat="1" ht="12" customHeight="1" x14ac:dyDescent="0.2">
      <c r="A11" s="15" t="s">
        <v>43</v>
      </c>
      <c r="B11" s="16"/>
      <c r="C11" s="16"/>
      <c r="D11" s="16"/>
      <c r="E11" s="17" t="s">
        <v>11</v>
      </c>
      <c r="F11" s="18">
        <f>SUM(F5:F10)</f>
        <v>7</v>
      </c>
      <c r="G11" s="14"/>
    </row>
    <row r="12" spans="1:7" s="10" customFormat="1" ht="168.75" x14ac:dyDescent="0.2">
      <c r="A12" s="43" t="s">
        <v>5</v>
      </c>
      <c r="B12" s="5" t="s">
        <v>42</v>
      </c>
      <c r="C12" s="4" t="s">
        <v>51</v>
      </c>
      <c r="D12" s="4" t="s">
        <v>59</v>
      </c>
      <c r="E12" s="4" t="s">
        <v>60</v>
      </c>
      <c r="F12" s="6">
        <v>3</v>
      </c>
      <c r="G12" s="14"/>
    </row>
    <row r="13" spans="1:7" s="10" customFormat="1" ht="157.5" x14ac:dyDescent="0.2">
      <c r="A13" s="43"/>
      <c r="B13" s="4"/>
      <c r="C13" s="4" t="s">
        <v>51</v>
      </c>
      <c r="D13" s="4" t="s">
        <v>61</v>
      </c>
      <c r="E13" s="4" t="s">
        <v>62</v>
      </c>
      <c r="F13" s="6">
        <v>3</v>
      </c>
      <c r="G13" s="14"/>
    </row>
    <row r="14" spans="1:7" s="10" customFormat="1" ht="22.5" x14ac:dyDescent="0.2">
      <c r="A14" s="43"/>
      <c r="B14" s="4"/>
      <c r="C14" s="4" t="s">
        <v>49</v>
      </c>
      <c r="D14" s="4" t="s">
        <v>77</v>
      </c>
      <c r="E14" s="4"/>
      <c r="F14" s="6">
        <v>0.5</v>
      </c>
      <c r="G14" s="14"/>
    </row>
    <row r="15" spans="1:7" s="10" customFormat="1" ht="22.5" x14ac:dyDescent="0.2">
      <c r="A15" s="43"/>
      <c r="B15" s="4"/>
      <c r="C15" s="4" t="s">
        <v>63</v>
      </c>
      <c r="D15" s="4" t="s">
        <v>64</v>
      </c>
      <c r="E15" s="4"/>
      <c r="F15" s="6">
        <v>0.5</v>
      </c>
      <c r="G15" s="14"/>
    </row>
    <row r="16" spans="1:7" s="10" customFormat="1" ht="12" customHeight="1" x14ac:dyDescent="0.2">
      <c r="A16" s="15" t="s">
        <v>44</v>
      </c>
      <c r="B16" s="16"/>
      <c r="C16" s="16"/>
      <c r="D16" s="16"/>
      <c r="E16" s="17" t="s">
        <v>11</v>
      </c>
      <c r="F16" s="18">
        <f>SUM(F12:F15)</f>
        <v>7</v>
      </c>
      <c r="G16" s="14"/>
    </row>
    <row r="17" spans="1:7" s="10" customFormat="1" ht="56.25" x14ac:dyDescent="0.2">
      <c r="A17" s="43" t="s">
        <v>7</v>
      </c>
      <c r="B17" s="5" t="s">
        <v>42</v>
      </c>
      <c r="C17" s="4" t="s">
        <v>63</v>
      </c>
      <c r="D17" s="4" t="s">
        <v>65</v>
      </c>
      <c r="E17" s="4" t="s">
        <v>69</v>
      </c>
      <c r="F17" s="6">
        <v>0.5</v>
      </c>
      <c r="G17" s="14"/>
    </row>
    <row r="18" spans="1:7" s="10" customFormat="1" ht="33.75" x14ac:dyDescent="0.2">
      <c r="A18" s="43"/>
      <c r="B18" s="4"/>
      <c r="C18" s="4" t="s">
        <v>56</v>
      </c>
      <c r="D18" s="4" t="s">
        <v>66</v>
      </c>
      <c r="E18" s="4"/>
      <c r="F18" s="6">
        <v>3</v>
      </c>
      <c r="G18" s="14"/>
    </row>
    <row r="19" spans="1:7" s="10" customFormat="1" ht="409.5" customHeight="1" x14ac:dyDescent="0.2">
      <c r="A19" s="43"/>
      <c r="B19" s="4"/>
      <c r="C19" s="4" t="s">
        <v>67</v>
      </c>
      <c r="D19" s="4" t="s">
        <v>68</v>
      </c>
      <c r="E19" s="4" t="s">
        <v>128</v>
      </c>
      <c r="F19" s="6">
        <v>3</v>
      </c>
      <c r="G19" s="14"/>
    </row>
    <row r="20" spans="1:7" s="10" customFormat="1" ht="67.5" x14ac:dyDescent="0.2">
      <c r="A20" s="43"/>
      <c r="B20" s="4"/>
      <c r="C20" s="4" t="s">
        <v>49</v>
      </c>
      <c r="D20" s="4" t="s">
        <v>76</v>
      </c>
      <c r="E20" s="4" t="s">
        <v>70</v>
      </c>
      <c r="F20" s="6">
        <v>0.5</v>
      </c>
      <c r="G20" s="14"/>
    </row>
    <row r="21" spans="1:7" s="10" customFormat="1" ht="12" customHeight="1" x14ac:dyDescent="0.2">
      <c r="A21" s="15" t="s">
        <v>45</v>
      </c>
      <c r="B21" s="16"/>
      <c r="C21" s="16"/>
      <c r="D21" s="16"/>
      <c r="E21" s="17" t="s">
        <v>11</v>
      </c>
      <c r="F21" s="18">
        <f>SUM(F17:F20)</f>
        <v>7</v>
      </c>
      <c r="G21" s="14"/>
    </row>
    <row r="22" spans="1:7" s="10" customFormat="1" ht="33.75" x14ac:dyDescent="0.2">
      <c r="A22" s="43" t="s">
        <v>8</v>
      </c>
      <c r="B22" s="5" t="s">
        <v>42</v>
      </c>
      <c r="C22" s="4" t="s">
        <v>56</v>
      </c>
      <c r="D22" s="4" t="s">
        <v>71</v>
      </c>
      <c r="E22" s="4"/>
      <c r="F22" s="6">
        <v>1</v>
      </c>
      <c r="G22" s="14"/>
    </row>
    <row r="23" spans="1:7" s="10" customFormat="1" ht="45" x14ac:dyDescent="0.2">
      <c r="A23" s="43"/>
      <c r="B23" s="4"/>
      <c r="C23" s="4" t="s">
        <v>56</v>
      </c>
      <c r="D23" s="4" t="s">
        <v>72</v>
      </c>
      <c r="E23" s="4" t="s">
        <v>73</v>
      </c>
      <c r="F23" s="6">
        <v>2</v>
      </c>
      <c r="G23" s="14"/>
    </row>
    <row r="24" spans="1:7" s="10" customFormat="1" ht="45" x14ac:dyDescent="0.2">
      <c r="A24" s="43"/>
      <c r="B24" s="4"/>
      <c r="C24" s="4" t="s">
        <v>63</v>
      </c>
      <c r="D24" s="4" t="s">
        <v>74</v>
      </c>
      <c r="E24" s="4" t="s">
        <v>75</v>
      </c>
      <c r="F24" s="6">
        <v>0.5</v>
      </c>
      <c r="G24" s="14"/>
    </row>
    <row r="25" spans="1:7" s="10" customFormat="1" ht="33.75" x14ac:dyDescent="0.2">
      <c r="A25" s="43"/>
      <c r="B25" s="4"/>
      <c r="C25" s="4" t="s">
        <v>49</v>
      </c>
      <c r="D25" s="4" t="s">
        <v>84</v>
      </c>
      <c r="E25" s="4"/>
      <c r="F25" s="6">
        <v>1</v>
      </c>
      <c r="G25" s="14"/>
    </row>
    <row r="26" spans="1:7" s="10" customFormat="1" ht="22.5" x14ac:dyDescent="0.2">
      <c r="A26" s="43"/>
      <c r="B26" s="4"/>
      <c r="C26" s="4" t="s">
        <v>80</v>
      </c>
      <c r="D26" s="4" t="s">
        <v>78</v>
      </c>
      <c r="E26" s="4"/>
      <c r="F26" s="6">
        <v>1.5</v>
      </c>
      <c r="G26" s="14"/>
    </row>
    <row r="27" spans="1:7" s="10" customFormat="1" ht="126.75" customHeight="1" x14ac:dyDescent="0.2">
      <c r="A27" s="43"/>
      <c r="B27" s="4"/>
      <c r="C27" s="28" t="s">
        <v>67</v>
      </c>
      <c r="D27" s="27" t="s">
        <v>79</v>
      </c>
      <c r="E27" s="24" t="s">
        <v>81</v>
      </c>
      <c r="F27" s="10">
        <v>1</v>
      </c>
      <c r="G27" s="14"/>
    </row>
    <row r="28" spans="1:7" s="10" customFormat="1" ht="12" customHeight="1" x14ac:dyDescent="0.2">
      <c r="A28" s="15" t="s">
        <v>46</v>
      </c>
      <c r="B28" s="16"/>
      <c r="C28" s="16"/>
      <c r="D28" s="16"/>
      <c r="E28" s="17" t="s">
        <v>11</v>
      </c>
      <c r="F28" s="18">
        <f>SUM(F22:F27)</f>
        <v>7</v>
      </c>
      <c r="G28" s="14"/>
    </row>
    <row r="29" spans="1:7" s="10" customFormat="1" ht="22.5" x14ac:dyDescent="0.2">
      <c r="A29" s="43" t="s">
        <v>9</v>
      </c>
      <c r="B29" s="5" t="s">
        <v>42</v>
      </c>
      <c r="C29" s="4" t="s">
        <v>56</v>
      </c>
      <c r="D29" s="4" t="s">
        <v>82</v>
      </c>
      <c r="E29" s="4"/>
      <c r="F29" s="6">
        <v>0.5</v>
      </c>
      <c r="G29" s="14"/>
    </row>
    <row r="30" spans="1:7" s="10" customFormat="1" ht="56.25" x14ac:dyDescent="0.2">
      <c r="A30" s="43"/>
      <c r="B30" s="4"/>
      <c r="C30" s="4" t="s">
        <v>51</v>
      </c>
      <c r="D30" s="4" t="s">
        <v>86</v>
      </c>
      <c r="E30" s="4"/>
      <c r="F30" s="6">
        <v>0.5</v>
      </c>
      <c r="G30" s="14"/>
    </row>
    <row r="31" spans="1:7" s="10" customFormat="1" ht="67.5" x14ac:dyDescent="0.2">
      <c r="A31" s="43"/>
      <c r="B31" s="4"/>
      <c r="C31" s="4" t="s">
        <v>56</v>
      </c>
      <c r="D31" s="4" t="s">
        <v>85</v>
      </c>
      <c r="E31" s="4" t="s">
        <v>90</v>
      </c>
      <c r="F31" s="6">
        <v>2</v>
      </c>
      <c r="G31" s="14"/>
    </row>
    <row r="32" spans="1:7" s="10" customFormat="1" ht="78.75" x14ac:dyDescent="0.2">
      <c r="A32" s="43"/>
      <c r="B32" s="4"/>
      <c r="C32" s="4" t="s">
        <v>67</v>
      </c>
      <c r="D32" s="4" t="s">
        <v>87</v>
      </c>
      <c r="E32" s="4" t="s">
        <v>88</v>
      </c>
      <c r="F32" s="6">
        <v>1.5</v>
      </c>
      <c r="G32" s="14"/>
    </row>
    <row r="33" spans="1:7" s="10" customFormat="1" ht="45" x14ac:dyDescent="0.2">
      <c r="A33" s="43"/>
      <c r="B33" s="4"/>
      <c r="C33" s="29" t="s">
        <v>51</v>
      </c>
      <c r="D33" s="30" t="s">
        <v>89</v>
      </c>
      <c r="E33" s="29"/>
      <c r="F33" s="29">
        <v>2.5</v>
      </c>
      <c r="G33" s="14"/>
    </row>
    <row r="34" spans="1:7" s="10" customFormat="1" ht="11.25" x14ac:dyDescent="0.2">
      <c r="A34" s="43"/>
      <c r="B34" s="4"/>
      <c r="C34" s="29"/>
      <c r="D34" s="29"/>
      <c r="E34" s="29"/>
      <c r="F34" s="29"/>
      <c r="G34" s="14"/>
    </row>
    <row r="35" spans="1:7" s="10" customFormat="1" ht="11.25" x14ac:dyDescent="0.2">
      <c r="A35" s="43"/>
      <c r="B35" s="4"/>
      <c r="C35" s="29"/>
      <c r="D35" s="29"/>
      <c r="E35" s="29"/>
      <c r="F35" s="29"/>
      <c r="G35" s="14"/>
    </row>
    <row r="36" spans="1:7" s="10" customFormat="1" ht="12" customHeight="1" x14ac:dyDescent="0.2">
      <c r="A36" s="25" t="s">
        <v>47</v>
      </c>
      <c r="B36" s="26"/>
      <c r="C36" s="19"/>
      <c r="D36" s="19"/>
      <c r="E36" s="20" t="s">
        <v>11</v>
      </c>
      <c r="F36" s="21">
        <f>SUM(F29:F33)</f>
        <v>7</v>
      </c>
      <c r="G36" s="14"/>
    </row>
    <row r="37" spans="1:7" s="10" customFormat="1" ht="12" customHeight="1" x14ac:dyDescent="0.2">
      <c r="A37" s="36" t="s">
        <v>10</v>
      </c>
      <c r="B37" s="37"/>
      <c r="C37" s="37"/>
      <c r="D37" s="38"/>
      <c r="E37" s="17"/>
      <c r="F37" s="17" t="s">
        <v>12</v>
      </c>
      <c r="G37" s="22">
        <f>F11+F16+F21+F28+F36</f>
        <v>35</v>
      </c>
    </row>
    <row r="38" spans="1:7" s="10" customFormat="1" ht="82.5" customHeight="1" x14ac:dyDescent="0.2">
      <c r="A38" s="33" t="s">
        <v>91</v>
      </c>
      <c r="B38" s="34"/>
      <c r="C38" s="34"/>
      <c r="D38" s="34"/>
      <c r="E38" s="34"/>
      <c r="F38" s="34"/>
      <c r="G38" s="35"/>
    </row>
  </sheetData>
  <mergeCells count="13">
    <mergeCell ref="A38:G38"/>
    <mergeCell ref="A37:D37"/>
    <mergeCell ref="A2:B2"/>
    <mergeCell ref="A3:A4"/>
    <mergeCell ref="B3:B4"/>
    <mergeCell ref="C3:C4"/>
    <mergeCell ref="D3:D4"/>
    <mergeCell ref="E3:E4"/>
    <mergeCell ref="A5:A10"/>
    <mergeCell ref="A12:A15"/>
    <mergeCell ref="A17:A20"/>
    <mergeCell ref="A22:A27"/>
    <mergeCell ref="A29:A35"/>
  </mergeCells>
  <conditionalFormatting sqref="F5:F26 F28:F32 F36">
    <cfRule type="containsText" dxfId="31" priority="1" operator="containsText" text="Terminé">
      <formula>NOT(ISERROR(SEARCH("Terminé",F5)))</formula>
    </cfRule>
    <cfRule type="containsText" dxfId="30" priority="2" operator="containsText" text="En cours">
      <formula>NOT(ISERROR(SEARCH("En cours",F5)))</formula>
    </cfRule>
  </conditionalFormatting>
  <conditionalFormatting sqref="G37">
    <cfRule type="containsText" dxfId="29" priority="11" operator="containsText" text="Terminé">
      <formula>NOT(ISERROR(SEARCH("Terminé",G37)))</formula>
    </cfRule>
    <cfRule type="containsText" dxfId="28" priority="12" operator="containsText" text="En cours">
      <formula>NOT(ISERROR(SEARCH("En cours",G37)))</formula>
    </cfRule>
  </conditionalFormatting>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zoomScale="115" zoomScaleNormal="115" workbookViewId="0">
      <pane ySplit="4" topLeftCell="A20" activePane="bottomLeft" state="frozen"/>
      <selection pane="bottomLeft" activeCell="I30" sqref="I30"/>
    </sheetView>
  </sheetViews>
  <sheetFormatPr baseColWidth="10" defaultColWidth="11.42578125" defaultRowHeight="13.5" x14ac:dyDescent="0.25"/>
  <cols>
    <col min="1" max="1" width="12" style="1" customWidth="1"/>
    <col min="2" max="2" width="20.5703125" style="1" customWidth="1"/>
    <col min="3" max="3" width="11.28515625" style="1" customWidth="1"/>
    <col min="4" max="4" width="35" style="1" customWidth="1"/>
    <col min="5" max="5" width="35.5703125" style="1" customWidth="1"/>
    <col min="6" max="6" width="7" style="1" customWidth="1"/>
    <col min="7" max="7" width="8.28515625" style="1" customWidth="1"/>
    <col min="8" max="16384" width="11.42578125" style="1"/>
  </cols>
  <sheetData>
    <row r="1" spans="1:7" ht="12" customHeight="1" x14ac:dyDescent="0.25">
      <c r="A1" s="2" t="s">
        <v>15</v>
      </c>
      <c r="B1" s="2"/>
      <c r="C1" s="2"/>
      <c r="D1" s="7" t="s">
        <v>14</v>
      </c>
      <c r="E1" s="2"/>
      <c r="F1" s="2"/>
      <c r="G1" s="3" t="s">
        <v>13</v>
      </c>
    </row>
    <row r="2" spans="1:7" ht="12" customHeight="1" x14ac:dyDescent="0.25">
      <c r="A2" s="39" t="s">
        <v>19</v>
      </c>
      <c r="B2" s="39"/>
      <c r="C2" s="2"/>
      <c r="D2" s="2"/>
      <c r="E2" s="2"/>
      <c r="F2" s="2"/>
      <c r="G2" s="2"/>
    </row>
    <row r="3" spans="1:7" s="10" customFormat="1" ht="12" customHeight="1" x14ac:dyDescent="0.2">
      <c r="A3" s="40" t="s">
        <v>0</v>
      </c>
      <c r="B3" s="40" t="s">
        <v>1</v>
      </c>
      <c r="C3" s="41" t="s">
        <v>16</v>
      </c>
      <c r="D3" s="40" t="s">
        <v>17</v>
      </c>
      <c r="E3" s="36" t="s">
        <v>83</v>
      </c>
      <c r="F3" s="8" t="s">
        <v>2</v>
      </c>
      <c r="G3" s="9" t="s">
        <v>4</v>
      </c>
    </row>
    <row r="4" spans="1:7" s="10" customFormat="1" ht="12" customHeight="1" x14ac:dyDescent="0.2">
      <c r="A4" s="40"/>
      <c r="B4" s="40"/>
      <c r="C4" s="41"/>
      <c r="D4" s="40"/>
      <c r="E4" s="36"/>
      <c r="F4" s="11" t="s">
        <v>3</v>
      </c>
      <c r="G4" s="12" t="s">
        <v>3</v>
      </c>
    </row>
    <row r="5" spans="1:7" s="10" customFormat="1" ht="33.75" x14ac:dyDescent="0.2">
      <c r="A5" s="42" t="s">
        <v>6</v>
      </c>
      <c r="B5" s="5" t="s">
        <v>42</v>
      </c>
      <c r="C5" s="5" t="s">
        <v>56</v>
      </c>
      <c r="D5" s="5" t="s">
        <v>97</v>
      </c>
      <c r="E5" s="5" t="s">
        <v>98</v>
      </c>
      <c r="F5" s="13">
        <v>4</v>
      </c>
      <c r="G5" s="14"/>
    </row>
    <row r="6" spans="1:7" s="10" customFormat="1" ht="56.25" x14ac:dyDescent="0.2">
      <c r="A6" s="43"/>
      <c r="B6" s="5"/>
      <c r="C6" s="5" t="s">
        <v>100</v>
      </c>
      <c r="D6" s="5" t="s">
        <v>101</v>
      </c>
      <c r="E6" s="5" t="s">
        <v>105</v>
      </c>
      <c r="F6" s="13">
        <v>0.5</v>
      </c>
      <c r="G6" s="14"/>
    </row>
    <row r="7" spans="1:7" s="10" customFormat="1" ht="22.5" x14ac:dyDescent="0.2">
      <c r="A7" s="43"/>
      <c r="B7" s="5"/>
      <c r="C7" s="5" t="s">
        <v>102</v>
      </c>
      <c r="D7" s="5" t="s">
        <v>103</v>
      </c>
      <c r="E7" s="5" t="s">
        <v>104</v>
      </c>
      <c r="F7" s="13">
        <v>1.5</v>
      </c>
      <c r="G7" s="14"/>
    </row>
    <row r="8" spans="1:7" s="10" customFormat="1" ht="11.25" x14ac:dyDescent="0.2">
      <c r="A8" s="43"/>
      <c r="B8" s="4"/>
      <c r="C8" s="4"/>
      <c r="D8" s="4"/>
      <c r="E8" s="4"/>
      <c r="F8" s="6"/>
      <c r="G8" s="14"/>
    </row>
    <row r="9" spans="1:7" s="10" customFormat="1" ht="11.25" x14ac:dyDescent="0.2">
      <c r="A9" s="43"/>
      <c r="B9" s="4"/>
      <c r="C9" s="4"/>
      <c r="D9" s="4"/>
      <c r="E9" s="4"/>
      <c r="F9" s="6"/>
      <c r="G9" s="14"/>
    </row>
    <row r="10" spans="1:7" s="10" customFormat="1" ht="25.5" customHeight="1" x14ac:dyDescent="0.2">
      <c r="A10" s="43"/>
      <c r="B10" s="4"/>
      <c r="C10" s="4" t="s">
        <v>49</v>
      </c>
      <c r="D10" s="4" t="s">
        <v>99</v>
      </c>
      <c r="E10" s="4"/>
      <c r="F10" s="6">
        <v>1</v>
      </c>
      <c r="G10" s="14"/>
    </row>
    <row r="11" spans="1:7" s="10" customFormat="1" ht="11.25" x14ac:dyDescent="0.2">
      <c r="A11" s="15" t="s">
        <v>92</v>
      </c>
      <c r="B11" s="16"/>
      <c r="C11" s="16"/>
      <c r="D11" s="16"/>
      <c r="E11" s="17" t="s">
        <v>11</v>
      </c>
      <c r="F11" s="18">
        <f>SUM(F5:F10)</f>
        <v>7</v>
      </c>
      <c r="G11" s="14"/>
    </row>
    <row r="12" spans="1:7" s="10" customFormat="1" ht="33.75" x14ac:dyDescent="0.2">
      <c r="A12" s="43" t="s">
        <v>5</v>
      </c>
      <c r="B12" s="5" t="s">
        <v>42</v>
      </c>
      <c r="C12" s="4" t="s">
        <v>106</v>
      </c>
      <c r="D12" s="4" t="s">
        <v>107</v>
      </c>
      <c r="E12" s="4" t="s">
        <v>108</v>
      </c>
      <c r="F12" s="6">
        <v>3.5</v>
      </c>
      <c r="G12" s="14"/>
    </row>
    <row r="13" spans="1:7" s="10" customFormat="1" ht="11.25" x14ac:dyDescent="0.2">
      <c r="A13" s="43"/>
      <c r="B13" s="4"/>
      <c r="C13" s="4" t="s">
        <v>67</v>
      </c>
      <c r="D13" s="4" t="s">
        <v>109</v>
      </c>
      <c r="E13" s="4" t="s">
        <v>112</v>
      </c>
      <c r="F13" s="6">
        <v>1</v>
      </c>
      <c r="G13" s="14"/>
    </row>
    <row r="14" spans="1:7" s="10" customFormat="1" ht="33.75" x14ac:dyDescent="0.2">
      <c r="A14" s="43"/>
      <c r="B14" s="4"/>
      <c r="C14" s="4" t="s">
        <v>63</v>
      </c>
      <c r="D14" s="4" t="s">
        <v>110</v>
      </c>
      <c r="E14" s="4" t="s">
        <v>111</v>
      </c>
      <c r="F14" s="6">
        <v>1.5</v>
      </c>
      <c r="G14" s="14"/>
    </row>
    <row r="15" spans="1:7" s="10" customFormat="1" ht="24.75" customHeight="1" x14ac:dyDescent="0.2">
      <c r="A15" s="43"/>
      <c r="B15" s="4"/>
      <c r="C15" s="4" t="s">
        <v>49</v>
      </c>
      <c r="D15" s="4" t="s">
        <v>99</v>
      </c>
      <c r="E15" s="4"/>
      <c r="F15" s="6">
        <v>1</v>
      </c>
      <c r="G15" s="14"/>
    </row>
    <row r="16" spans="1:7" s="10" customFormat="1" ht="11.25" x14ac:dyDescent="0.2">
      <c r="A16" s="15" t="s">
        <v>93</v>
      </c>
      <c r="B16" s="16"/>
      <c r="C16" s="16"/>
      <c r="D16" s="16"/>
      <c r="E16" s="17" t="s">
        <v>11</v>
      </c>
      <c r="F16" s="18">
        <f>SUM(F12:F15)</f>
        <v>7</v>
      </c>
      <c r="G16" s="14"/>
    </row>
    <row r="17" spans="1:7" s="10" customFormat="1" ht="45" x14ac:dyDescent="0.2">
      <c r="A17" s="43" t="s">
        <v>7</v>
      </c>
      <c r="B17" s="5" t="s">
        <v>42</v>
      </c>
      <c r="C17" s="4" t="s">
        <v>106</v>
      </c>
      <c r="D17" s="4" t="s">
        <v>113</v>
      </c>
      <c r="E17" s="4"/>
      <c r="F17" s="6">
        <v>5</v>
      </c>
      <c r="G17" s="14"/>
    </row>
    <row r="18" spans="1:7" s="10" customFormat="1" ht="11.25" x14ac:dyDescent="0.2">
      <c r="A18" s="43"/>
      <c r="B18" s="4"/>
      <c r="C18" s="4"/>
      <c r="D18" s="4"/>
      <c r="E18" s="4"/>
      <c r="F18" s="6"/>
      <c r="G18" s="14"/>
    </row>
    <row r="19" spans="1:7" s="10" customFormat="1" ht="11.25" x14ac:dyDescent="0.2">
      <c r="A19" s="43"/>
      <c r="B19" s="4"/>
      <c r="C19" s="4"/>
      <c r="D19" s="4"/>
      <c r="E19" s="4"/>
      <c r="F19" s="6"/>
      <c r="G19" s="14"/>
    </row>
    <row r="20" spans="1:7" s="10" customFormat="1" ht="21.75" customHeight="1" x14ac:dyDescent="0.2">
      <c r="A20" s="43"/>
      <c r="B20" s="4"/>
      <c r="C20" s="4" t="s">
        <v>49</v>
      </c>
      <c r="D20" s="4" t="s">
        <v>99</v>
      </c>
      <c r="E20" s="4"/>
      <c r="F20" s="6">
        <v>2</v>
      </c>
      <c r="G20" s="14"/>
    </row>
    <row r="21" spans="1:7" s="10" customFormat="1" ht="11.25" x14ac:dyDescent="0.2">
      <c r="A21" s="15" t="s">
        <v>94</v>
      </c>
      <c r="B21" s="16"/>
      <c r="C21" s="16"/>
      <c r="D21" s="16"/>
      <c r="E21" s="17" t="s">
        <v>11</v>
      </c>
      <c r="F21" s="18">
        <f>SUM(F17:F20)</f>
        <v>7</v>
      </c>
      <c r="G21" s="14"/>
    </row>
    <row r="22" spans="1:7" s="10" customFormat="1" ht="103.5" customHeight="1" x14ac:dyDescent="0.2">
      <c r="A22" s="43" t="s">
        <v>8</v>
      </c>
      <c r="B22" s="5" t="s">
        <v>42</v>
      </c>
      <c r="C22" s="4" t="s">
        <v>106</v>
      </c>
      <c r="D22" s="4" t="s">
        <v>126</v>
      </c>
      <c r="E22" s="4" t="s">
        <v>115</v>
      </c>
      <c r="F22" s="6">
        <v>3.5</v>
      </c>
      <c r="G22" s="14"/>
    </row>
    <row r="23" spans="1:7" s="10" customFormat="1" ht="56.25" x14ac:dyDescent="0.2">
      <c r="A23" s="43"/>
      <c r="B23" s="4"/>
      <c r="C23" s="4" t="s">
        <v>102</v>
      </c>
      <c r="D23" s="4" t="s">
        <v>114</v>
      </c>
      <c r="E23" s="4" t="s">
        <v>116</v>
      </c>
      <c r="F23" s="6">
        <v>1.5</v>
      </c>
      <c r="G23" s="14"/>
    </row>
    <row r="24" spans="1:7" s="10" customFormat="1" ht="1.5" customHeight="1" x14ac:dyDescent="0.2">
      <c r="A24" s="43"/>
      <c r="B24" s="4"/>
      <c r="C24" s="4"/>
      <c r="D24" s="4"/>
      <c r="E24" s="4"/>
      <c r="F24" s="6"/>
      <c r="G24" s="14"/>
    </row>
    <row r="25" spans="1:7" s="10" customFormat="1" ht="12" hidden="1" customHeight="1" x14ac:dyDescent="0.2">
      <c r="A25" s="43"/>
      <c r="B25" s="4"/>
      <c r="C25" s="4"/>
      <c r="D25" s="4"/>
      <c r="E25" s="4"/>
      <c r="F25" s="6"/>
      <c r="G25" s="14"/>
    </row>
    <row r="26" spans="1:7" s="10" customFormat="1" ht="11.25" hidden="1" x14ac:dyDescent="0.2">
      <c r="A26" s="43"/>
      <c r="B26" s="4"/>
      <c r="C26" s="4"/>
      <c r="D26" s="4"/>
      <c r="E26" s="4"/>
      <c r="F26" s="6"/>
      <c r="G26" s="14"/>
    </row>
    <row r="27" spans="1:7" s="10" customFormat="1" ht="22.5" x14ac:dyDescent="0.2">
      <c r="A27" s="43"/>
      <c r="B27" s="4"/>
      <c r="C27" s="4" t="s">
        <v>49</v>
      </c>
      <c r="D27" s="4" t="s">
        <v>99</v>
      </c>
      <c r="E27" s="24"/>
      <c r="F27" s="10">
        <v>2</v>
      </c>
      <c r="G27" s="14"/>
    </row>
    <row r="28" spans="1:7" s="10" customFormat="1" ht="11.25" x14ac:dyDescent="0.2">
      <c r="A28" s="15" t="s">
        <v>95</v>
      </c>
      <c r="B28" s="16"/>
      <c r="C28" s="16"/>
      <c r="D28" s="16"/>
      <c r="E28" s="17" t="s">
        <v>11</v>
      </c>
      <c r="F28" s="18">
        <f>SUM(F22:F27)</f>
        <v>7</v>
      </c>
      <c r="G28" s="14"/>
    </row>
    <row r="29" spans="1:7" s="10" customFormat="1" ht="33.75" x14ac:dyDescent="0.2">
      <c r="A29" s="43" t="s">
        <v>9</v>
      </c>
      <c r="B29" s="5" t="s">
        <v>42</v>
      </c>
      <c r="C29" s="4" t="s">
        <v>49</v>
      </c>
      <c r="D29" s="4" t="s">
        <v>99</v>
      </c>
      <c r="E29" s="4"/>
      <c r="F29" s="6">
        <v>2</v>
      </c>
      <c r="G29" s="14"/>
    </row>
    <row r="30" spans="1:7" s="10" customFormat="1" ht="48.75" customHeight="1" x14ac:dyDescent="0.2">
      <c r="A30" s="43"/>
      <c r="B30" s="4"/>
      <c r="C30" s="4" t="s">
        <v>117</v>
      </c>
      <c r="D30" s="4" t="s">
        <v>118</v>
      </c>
      <c r="E30" s="4"/>
      <c r="F30" s="6">
        <v>2</v>
      </c>
      <c r="G30" s="14"/>
    </row>
    <row r="31" spans="1:7" s="10" customFormat="1" ht="36" customHeight="1" x14ac:dyDescent="0.2">
      <c r="A31" s="43"/>
      <c r="B31" s="4"/>
      <c r="C31" s="4" t="s">
        <v>51</v>
      </c>
      <c r="D31" s="4" t="s">
        <v>119</v>
      </c>
      <c r="E31" s="4" t="s">
        <v>120</v>
      </c>
      <c r="F31" s="6">
        <v>1.5</v>
      </c>
      <c r="G31" s="14"/>
    </row>
    <row r="32" spans="1:7" s="10" customFormat="1" ht="32.25" customHeight="1" x14ac:dyDescent="0.2">
      <c r="A32" s="43"/>
      <c r="B32" s="4"/>
      <c r="C32" s="4" t="s">
        <v>121</v>
      </c>
      <c r="D32" s="4" t="s">
        <v>122</v>
      </c>
      <c r="E32" s="4"/>
      <c r="F32" s="6">
        <v>0.5</v>
      </c>
      <c r="G32" s="14"/>
    </row>
    <row r="33" spans="1:7" ht="25.5" customHeight="1" x14ac:dyDescent="0.25">
      <c r="A33" s="43"/>
      <c r="B33" s="4"/>
      <c r="C33" s="29" t="s">
        <v>63</v>
      </c>
      <c r="D33" s="30" t="s">
        <v>123</v>
      </c>
      <c r="E33" s="30" t="s">
        <v>124</v>
      </c>
      <c r="F33" s="29">
        <v>1</v>
      </c>
      <c r="G33" s="14"/>
    </row>
    <row r="34" spans="1:7" ht="2.25" customHeight="1" x14ac:dyDescent="0.25">
      <c r="A34" s="43"/>
      <c r="B34" s="4"/>
      <c r="C34" s="29"/>
      <c r="D34" s="29"/>
      <c r="E34" s="29"/>
      <c r="F34" s="29"/>
      <c r="G34" s="14"/>
    </row>
    <row r="35" spans="1:7" hidden="1" x14ac:dyDescent="0.25">
      <c r="A35" s="43"/>
      <c r="B35" s="4"/>
      <c r="C35" s="29"/>
      <c r="D35" s="29"/>
      <c r="E35" s="29"/>
      <c r="F35" s="29"/>
      <c r="G35" s="14"/>
    </row>
    <row r="36" spans="1:7" x14ac:dyDescent="0.25">
      <c r="A36" s="25" t="s">
        <v>96</v>
      </c>
      <c r="B36" s="26"/>
      <c r="C36" s="19"/>
      <c r="D36" s="19"/>
      <c r="E36" s="20" t="s">
        <v>11</v>
      </c>
      <c r="F36" s="21">
        <f>SUM(F29:F33)</f>
        <v>7</v>
      </c>
      <c r="G36" s="14"/>
    </row>
    <row r="37" spans="1:7" x14ac:dyDescent="0.25">
      <c r="A37" s="36" t="s">
        <v>10</v>
      </c>
      <c r="B37" s="37"/>
      <c r="C37" s="37"/>
      <c r="D37" s="38"/>
      <c r="E37" s="17"/>
      <c r="F37" s="17" t="s">
        <v>12</v>
      </c>
      <c r="G37" s="22">
        <f>F11+F16+F21+F28+F36</f>
        <v>35</v>
      </c>
    </row>
    <row r="38" spans="1:7" ht="81.75" customHeight="1" x14ac:dyDescent="0.25">
      <c r="A38" s="33" t="s">
        <v>125</v>
      </c>
      <c r="B38" s="34"/>
      <c r="C38" s="34"/>
      <c r="D38" s="34"/>
      <c r="E38" s="34"/>
      <c r="F38" s="34"/>
      <c r="G38" s="35"/>
    </row>
    <row r="39" spans="1:7" x14ac:dyDescent="0.25">
      <c r="A39" s="31"/>
      <c r="B39" s="31"/>
      <c r="C39" s="31"/>
      <c r="D39" s="31"/>
      <c r="E39" s="31"/>
      <c r="F39" s="31"/>
      <c r="G39" s="31"/>
    </row>
    <row r="40" spans="1:7" x14ac:dyDescent="0.25">
      <c r="A40" s="31"/>
      <c r="B40" s="31"/>
      <c r="C40" s="31"/>
      <c r="D40" s="31"/>
      <c r="E40" s="31"/>
      <c r="F40" s="31"/>
      <c r="G40" s="31"/>
    </row>
    <row r="41" spans="1:7" x14ac:dyDescent="0.25">
      <c r="A41" s="31"/>
      <c r="B41" s="31"/>
      <c r="C41" s="31"/>
      <c r="D41" s="31"/>
      <c r="E41" s="31"/>
      <c r="F41" s="31"/>
      <c r="G41" s="31"/>
    </row>
  </sheetData>
  <mergeCells count="13">
    <mergeCell ref="A22:A27"/>
    <mergeCell ref="A29:A35"/>
    <mergeCell ref="A37:D37"/>
    <mergeCell ref="A38:G38"/>
    <mergeCell ref="A2:B2"/>
    <mergeCell ref="A5:A10"/>
    <mergeCell ref="A12:A15"/>
    <mergeCell ref="A17:A20"/>
    <mergeCell ref="E3:E4"/>
    <mergeCell ref="D3:D4"/>
    <mergeCell ref="B3:B4"/>
    <mergeCell ref="A3:A4"/>
    <mergeCell ref="C3:C4"/>
  </mergeCells>
  <conditionalFormatting sqref="F5:F26 F28:F32 F36">
    <cfRule type="containsText" dxfId="27" priority="1" operator="containsText" text="Terminé">
      <formula>NOT(ISERROR(SEARCH("Terminé",F5)))</formula>
    </cfRule>
    <cfRule type="containsText" dxfId="26" priority="2" operator="containsText" text="En cours">
      <formula>NOT(ISERROR(SEARCH("En cours",F5)))</formula>
    </cfRule>
  </conditionalFormatting>
  <conditionalFormatting sqref="G37">
    <cfRule type="containsText" dxfId="25" priority="3" operator="containsText" text="Terminé">
      <formula>NOT(ISERROR(SEARCH("Terminé",G37)))</formula>
    </cfRule>
    <cfRule type="containsText" dxfId="24" priority="4" operator="containsText" text="En cours">
      <formula>NOT(ISERROR(SEARCH("En cours",G37)))</formula>
    </cfRule>
  </conditionalFormatting>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362A-39DA-4F12-AE49-90700CE33988}">
  <dimension ref="A1:G40"/>
  <sheetViews>
    <sheetView topLeftCell="A8" zoomScale="115" zoomScaleNormal="115" workbookViewId="0">
      <selection activeCell="D22" sqref="D22"/>
    </sheetView>
  </sheetViews>
  <sheetFormatPr baseColWidth="10" defaultRowHeight="15" x14ac:dyDescent="0.25"/>
  <cols>
    <col min="2" max="2" width="18.85546875" customWidth="1"/>
    <col min="4" max="4" width="21.42578125" customWidth="1"/>
    <col min="5" max="5" width="27.5703125" customWidth="1"/>
  </cols>
  <sheetData>
    <row r="1" spans="1:7" x14ac:dyDescent="0.25">
      <c r="A1" s="2" t="s">
        <v>15</v>
      </c>
      <c r="B1" s="2"/>
      <c r="C1" s="2"/>
      <c r="D1" s="7" t="s">
        <v>14</v>
      </c>
      <c r="E1" s="2"/>
      <c r="F1" s="2"/>
      <c r="G1" s="3" t="s">
        <v>13</v>
      </c>
    </row>
    <row r="2" spans="1:7" x14ac:dyDescent="0.25">
      <c r="A2" s="39" t="s">
        <v>19</v>
      </c>
      <c r="B2" s="39"/>
      <c r="C2" s="2"/>
      <c r="D2" s="2"/>
      <c r="E2" s="2"/>
      <c r="F2" s="2"/>
      <c r="G2" s="2"/>
    </row>
    <row r="3" spans="1:7" x14ac:dyDescent="0.25">
      <c r="A3" s="40" t="s">
        <v>0</v>
      </c>
      <c r="B3" s="40" t="s">
        <v>1</v>
      </c>
      <c r="C3" s="41" t="s">
        <v>16</v>
      </c>
      <c r="D3" s="40" t="s">
        <v>17</v>
      </c>
      <c r="E3" s="36" t="s">
        <v>83</v>
      </c>
      <c r="F3" s="8" t="s">
        <v>2</v>
      </c>
      <c r="G3" s="9" t="s">
        <v>4</v>
      </c>
    </row>
    <row r="4" spans="1:7" x14ac:dyDescent="0.25">
      <c r="A4" s="40"/>
      <c r="B4" s="40"/>
      <c r="C4" s="41"/>
      <c r="D4" s="40"/>
      <c r="E4" s="36"/>
      <c r="F4" s="11" t="s">
        <v>3</v>
      </c>
      <c r="G4" s="12" t="s">
        <v>3</v>
      </c>
    </row>
    <row r="5" spans="1:7" ht="273" customHeight="1" x14ac:dyDescent="0.25">
      <c r="A5" s="42" t="s">
        <v>6</v>
      </c>
      <c r="B5" s="5" t="s">
        <v>42</v>
      </c>
      <c r="C5" s="5" t="s">
        <v>49</v>
      </c>
      <c r="D5" s="5" t="s">
        <v>127</v>
      </c>
      <c r="E5" s="5" t="s">
        <v>133</v>
      </c>
      <c r="F5" s="13">
        <v>2</v>
      </c>
      <c r="G5" s="14"/>
    </row>
    <row r="6" spans="1:7" ht="33.75" x14ac:dyDescent="0.25">
      <c r="A6" s="43"/>
      <c r="B6" s="5"/>
      <c r="C6" s="5" t="s">
        <v>49</v>
      </c>
      <c r="D6" s="4" t="s">
        <v>99</v>
      </c>
      <c r="E6" s="24"/>
      <c r="F6" s="29">
        <v>2</v>
      </c>
      <c r="G6" s="14"/>
    </row>
    <row r="7" spans="1:7" ht="22.5" x14ac:dyDescent="0.25">
      <c r="A7" s="43"/>
      <c r="B7" s="5"/>
      <c r="C7" s="5" t="s">
        <v>129</v>
      </c>
      <c r="D7" s="5" t="s">
        <v>130</v>
      </c>
      <c r="E7" s="5"/>
      <c r="F7" s="13">
        <v>1.5</v>
      </c>
      <c r="G7" s="14"/>
    </row>
    <row r="8" spans="1:7" ht="135" x14ac:dyDescent="0.25">
      <c r="A8" s="43"/>
      <c r="B8" s="4"/>
      <c r="C8" s="4" t="s">
        <v>63</v>
      </c>
      <c r="D8" s="4" t="s">
        <v>131</v>
      </c>
      <c r="E8" s="4" t="s">
        <v>132</v>
      </c>
      <c r="F8" s="6">
        <v>1.5</v>
      </c>
      <c r="G8" s="14"/>
    </row>
    <row r="9" spans="1:7" x14ac:dyDescent="0.25">
      <c r="A9" s="43"/>
      <c r="B9" s="4"/>
      <c r="C9" s="4"/>
      <c r="D9" s="4"/>
      <c r="E9" s="4"/>
      <c r="F9" s="6"/>
      <c r="G9" s="14"/>
    </row>
    <row r="10" spans="1:7" x14ac:dyDescent="0.25">
      <c r="A10" s="43"/>
      <c r="B10" s="4"/>
      <c r="C10" s="4"/>
      <c r="D10" s="4"/>
      <c r="E10" s="4"/>
      <c r="F10" s="6"/>
      <c r="G10" s="14"/>
    </row>
    <row r="11" spans="1:7" x14ac:dyDescent="0.25">
      <c r="A11" s="15" t="s">
        <v>146</v>
      </c>
      <c r="B11" s="16"/>
      <c r="C11" s="16"/>
      <c r="D11" s="16"/>
      <c r="E11" s="17" t="s">
        <v>11</v>
      </c>
      <c r="F11" s="18">
        <f>SUM(F5:F10)</f>
        <v>7</v>
      </c>
      <c r="G11" s="14"/>
    </row>
    <row r="12" spans="1:7" ht="33.75" x14ac:dyDescent="0.25">
      <c r="A12" s="43" t="s">
        <v>5</v>
      </c>
      <c r="B12" s="5" t="s">
        <v>42</v>
      </c>
      <c r="C12" s="5" t="s">
        <v>49</v>
      </c>
      <c r="D12" s="4" t="s">
        <v>99</v>
      </c>
      <c r="E12" s="24"/>
      <c r="F12" s="29">
        <v>2.5</v>
      </c>
      <c r="G12" s="14"/>
    </row>
    <row r="13" spans="1:7" ht="78.75" x14ac:dyDescent="0.25">
      <c r="A13" s="43"/>
      <c r="B13" s="4"/>
      <c r="C13" s="4" t="s">
        <v>63</v>
      </c>
      <c r="D13" s="4" t="s">
        <v>134</v>
      </c>
      <c r="E13" s="4"/>
      <c r="F13" s="6">
        <v>1.5</v>
      </c>
      <c r="G13" s="14"/>
    </row>
    <row r="14" spans="1:7" x14ac:dyDescent="0.25">
      <c r="A14" s="43"/>
      <c r="B14" s="4"/>
      <c r="C14" s="4" t="s">
        <v>117</v>
      </c>
      <c r="D14" s="4" t="s">
        <v>135</v>
      </c>
      <c r="E14" s="4"/>
      <c r="F14" s="6">
        <v>2</v>
      </c>
      <c r="G14" s="14"/>
    </row>
    <row r="15" spans="1:7" ht="33.75" x14ac:dyDescent="0.25">
      <c r="A15" s="43"/>
      <c r="B15" s="4"/>
      <c r="C15" s="4" t="s">
        <v>31</v>
      </c>
      <c r="D15" s="4" t="s">
        <v>136</v>
      </c>
      <c r="E15" s="4"/>
      <c r="F15" s="6">
        <v>1</v>
      </c>
      <c r="G15" s="14"/>
    </row>
    <row r="16" spans="1:7" x14ac:dyDescent="0.25">
      <c r="A16" s="15" t="s">
        <v>145</v>
      </c>
      <c r="B16" s="16"/>
      <c r="C16" s="16"/>
      <c r="D16" s="16"/>
      <c r="E16" s="17" t="s">
        <v>11</v>
      </c>
      <c r="F16" s="18">
        <f>SUM(F12:F15)</f>
        <v>7</v>
      </c>
      <c r="G16" s="14"/>
    </row>
    <row r="17" spans="1:7" ht="33.75" x14ac:dyDescent="0.25">
      <c r="A17" s="43" t="s">
        <v>7</v>
      </c>
      <c r="B17" s="5" t="s">
        <v>42</v>
      </c>
      <c r="C17" s="4"/>
      <c r="D17" s="4"/>
      <c r="E17" s="4"/>
      <c r="F17" s="6"/>
      <c r="G17" s="14"/>
    </row>
    <row r="18" spans="1:7" x14ac:dyDescent="0.25">
      <c r="A18" s="43"/>
      <c r="B18" s="4"/>
      <c r="C18" s="4"/>
      <c r="D18" s="4"/>
      <c r="E18" s="4"/>
      <c r="F18" s="6"/>
      <c r="G18" s="14"/>
    </row>
    <row r="19" spans="1:7" x14ac:dyDescent="0.25">
      <c r="A19" s="43"/>
      <c r="B19" s="4"/>
      <c r="C19" s="4"/>
      <c r="D19" s="4"/>
      <c r="E19" s="4"/>
      <c r="F19" s="6"/>
      <c r="G19" s="14"/>
    </row>
    <row r="20" spans="1:7" x14ac:dyDescent="0.25">
      <c r="A20" s="43"/>
      <c r="B20" s="4"/>
      <c r="C20" s="4"/>
      <c r="D20" s="4"/>
      <c r="E20" s="4"/>
      <c r="F20" s="6"/>
      <c r="G20" s="14"/>
    </row>
    <row r="21" spans="1:7" x14ac:dyDescent="0.25">
      <c r="A21" s="15" t="s">
        <v>144</v>
      </c>
      <c r="B21" s="16"/>
      <c r="C21" s="16"/>
      <c r="D21" s="16"/>
      <c r="E21" s="17" t="s">
        <v>11</v>
      </c>
      <c r="F21" s="18">
        <f>SUM(F17:F20)</f>
        <v>0</v>
      </c>
      <c r="G21" s="14"/>
    </row>
    <row r="22" spans="1:7" ht="33.75" x14ac:dyDescent="0.25">
      <c r="A22" s="43" t="s">
        <v>8</v>
      </c>
      <c r="B22" s="5" t="s">
        <v>42</v>
      </c>
      <c r="C22" s="5" t="s">
        <v>49</v>
      </c>
      <c r="D22" s="4" t="s">
        <v>99</v>
      </c>
      <c r="E22" s="24"/>
      <c r="F22" s="29">
        <v>2.5</v>
      </c>
      <c r="G22" s="14"/>
    </row>
    <row r="23" spans="1:7" ht="33.75" x14ac:dyDescent="0.25">
      <c r="A23" s="43"/>
      <c r="B23" s="4"/>
      <c r="C23" s="4" t="s">
        <v>31</v>
      </c>
      <c r="D23" s="4" t="s">
        <v>136</v>
      </c>
      <c r="E23" s="4"/>
      <c r="F23" s="6">
        <v>1</v>
      </c>
      <c r="G23" s="14"/>
    </row>
    <row r="24" spans="1:7" x14ac:dyDescent="0.25">
      <c r="A24" s="43"/>
      <c r="B24" s="4"/>
      <c r="C24" s="4"/>
      <c r="D24" s="4"/>
      <c r="E24" s="4"/>
      <c r="F24" s="6"/>
      <c r="G24" s="14"/>
    </row>
    <row r="25" spans="1:7" ht="33.75" x14ac:dyDescent="0.25">
      <c r="A25" s="43"/>
      <c r="B25" s="4"/>
      <c r="C25" s="4" t="s">
        <v>137</v>
      </c>
      <c r="D25" s="4" t="s">
        <v>138</v>
      </c>
      <c r="E25" s="4"/>
      <c r="F25" s="6">
        <v>3</v>
      </c>
      <c r="G25" s="14"/>
    </row>
    <row r="26" spans="1:7" x14ac:dyDescent="0.25">
      <c r="A26" s="43"/>
      <c r="B26" s="4"/>
      <c r="C26" s="4"/>
      <c r="D26" s="4"/>
      <c r="E26" s="4"/>
      <c r="F26" s="6"/>
      <c r="G26" s="14"/>
    </row>
    <row r="27" spans="1:7" x14ac:dyDescent="0.25">
      <c r="A27" s="43"/>
      <c r="B27" s="4"/>
      <c r="C27" s="4"/>
      <c r="D27" s="4"/>
      <c r="E27" s="24"/>
      <c r="F27" s="10"/>
      <c r="G27" s="14"/>
    </row>
    <row r="28" spans="1:7" x14ac:dyDescent="0.25">
      <c r="A28" s="15" t="s">
        <v>143</v>
      </c>
      <c r="B28" s="16"/>
      <c r="C28" s="16"/>
      <c r="D28" s="16"/>
      <c r="E28" s="17" t="s">
        <v>11</v>
      </c>
      <c r="F28" s="18">
        <f>SUM(F22:F27)</f>
        <v>6.5</v>
      </c>
      <c r="G28" s="14"/>
    </row>
    <row r="29" spans="1:7" ht="33.75" x14ac:dyDescent="0.25">
      <c r="A29" s="43" t="s">
        <v>9</v>
      </c>
      <c r="B29" s="5" t="s">
        <v>42</v>
      </c>
      <c r="C29" s="4" t="s">
        <v>137</v>
      </c>
      <c r="D29" s="4" t="s">
        <v>138</v>
      </c>
      <c r="E29" s="4"/>
      <c r="F29" s="6">
        <v>3.5</v>
      </c>
      <c r="G29" s="14"/>
    </row>
    <row r="30" spans="1:7" ht="67.5" x14ac:dyDescent="0.25">
      <c r="A30" s="43"/>
      <c r="B30" s="4"/>
      <c r="C30" s="4" t="s">
        <v>139</v>
      </c>
      <c r="D30" s="4" t="s">
        <v>140</v>
      </c>
      <c r="E30" s="4"/>
      <c r="F30" s="6">
        <v>1</v>
      </c>
      <c r="G30" s="14"/>
    </row>
    <row r="31" spans="1:7" ht="33.75" x14ac:dyDescent="0.25">
      <c r="A31" s="43"/>
      <c r="B31" s="4"/>
      <c r="C31" s="5" t="s">
        <v>49</v>
      </c>
      <c r="D31" s="4" t="s">
        <v>99</v>
      </c>
      <c r="E31" s="24"/>
      <c r="F31" s="29">
        <v>2.5</v>
      </c>
      <c r="G31" s="14"/>
    </row>
    <row r="32" spans="1:7" x14ac:dyDescent="0.25">
      <c r="A32" s="43"/>
      <c r="B32" s="4"/>
      <c r="C32" s="4"/>
      <c r="D32" s="4"/>
      <c r="E32" s="4"/>
      <c r="F32" s="6"/>
      <c r="G32" s="14"/>
    </row>
    <row r="33" spans="1:7" x14ac:dyDescent="0.25">
      <c r="A33" s="43"/>
      <c r="B33" s="4"/>
      <c r="C33" s="29"/>
      <c r="D33" s="30"/>
      <c r="E33" s="30"/>
      <c r="F33" s="29"/>
      <c r="G33" s="14"/>
    </row>
    <row r="34" spans="1:7" x14ac:dyDescent="0.25">
      <c r="A34" s="43"/>
      <c r="B34" s="4"/>
      <c r="C34" s="29"/>
      <c r="D34" s="29"/>
      <c r="E34" s="29"/>
      <c r="F34" s="29"/>
      <c r="G34" s="14"/>
    </row>
    <row r="35" spans="1:7" x14ac:dyDescent="0.25">
      <c r="A35" s="43"/>
      <c r="B35" s="4"/>
      <c r="C35" s="29"/>
      <c r="D35" s="29"/>
      <c r="E35" s="29"/>
      <c r="F35" s="29"/>
      <c r="G35" s="14"/>
    </row>
    <row r="36" spans="1:7" x14ac:dyDescent="0.25">
      <c r="A36" s="25" t="s">
        <v>142</v>
      </c>
      <c r="B36" s="26"/>
      <c r="C36" s="19"/>
      <c r="D36" s="19"/>
      <c r="E36" s="20" t="s">
        <v>11</v>
      </c>
      <c r="F36" s="21">
        <f>SUM(F29:F33)</f>
        <v>7</v>
      </c>
      <c r="G36" s="14"/>
    </row>
    <row r="37" spans="1:7" x14ac:dyDescent="0.25">
      <c r="A37" s="36" t="s">
        <v>10</v>
      </c>
      <c r="B37" s="37"/>
      <c r="C37" s="37"/>
      <c r="D37" s="38"/>
      <c r="E37" s="17"/>
      <c r="F37" s="17" t="s">
        <v>12</v>
      </c>
      <c r="G37" s="22">
        <f>F11+F16+F21+F28+F36</f>
        <v>27.5</v>
      </c>
    </row>
    <row r="38" spans="1:7" ht="35.25" customHeight="1" x14ac:dyDescent="0.25">
      <c r="A38" s="33" t="s">
        <v>141</v>
      </c>
      <c r="B38" s="34"/>
      <c r="C38" s="34"/>
      <c r="D38" s="34"/>
      <c r="E38" s="34"/>
      <c r="F38" s="34"/>
      <c r="G38" s="35"/>
    </row>
    <row r="39" spans="1:7" x14ac:dyDescent="0.25">
      <c r="A39" s="32"/>
      <c r="B39" s="32"/>
      <c r="C39" s="32"/>
      <c r="D39" s="32"/>
      <c r="E39" s="32"/>
      <c r="F39" s="32"/>
      <c r="G39" s="32"/>
    </row>
    <row r="40" spans="1:7" x14ac:dyDescent="0.25">
      <c r="A40" s="32"/>
      <c r="B40" s="32"/>
      <c r="C40" s="32"/>
      <c r="D40" s="32"/>
      <c r="E40" s="32"/>
      <c r="F40" s="32"/>
      <c r="G40" s="32"/>
    </row>
  </sheetData>
  <mergeCells count="13">
    <mergeCell ref="A29:A35"/>
    <mergeCell ref="A37:D37"/>
    <mergeCell ref="A38:G38"/>
    <mergeCell ref="E3:E4"/>
    <mergeCell ref="A5:A10"/>
    <mergeCell ref="A12:A15"/>
    <mergeCell ref="A17:A20"/>
    <mergeCell ref="A22:A27"/>
    <mergeCell ref="A2:B2"/>
    <mergeCell ref="A3:A4"/>
    <mergeCell ref="B3:B4"/>
    <mergeCell ref="C3:C4"/>
    <mergeCell ref="D3:D4"/>
  </mergeCells>
  <conditionalFormatting sqref="F5 F7:F11 F13:F21 F23:F26 F28:F30 F32 F36">
    <cfRule type="containsText" dxfId="23" priority="1" operator="containsText" text="Terminé">
      <formula>NOT(ISERROR(SEARCH("Terminé",F5)))</formula>
    </cfRule>
    <cfRule type="containsText" dxfId="22" priority="2" operator="containsText" text="En cours">
      <formula>NOT(ISERROR(SEARCH("En cours",F5)))</formula>
    </cfRule>
  </conditionalFormatting>
  <conditionalFormatting sqref="G37">
    <cfRule type="containsText" dxfId="21" priority="3" operator="containsText" text="Terminé">
      <formula>NOT(ISERROR(SEARCH("Terminé",G37)))</formula>
    </cfRule>
    <cfRule type="containsText" dxfId="20" priority="4" operator="containsText" text="En cours">
      <formula>NOT(ISERROR(SEARCH("En cours",G37)))</formula>
    </cfRule>
  </conditionalFormatting>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F9F35-91F5-4287-AB11-66F24B7EE014}">
  <dimension ref="A1:G38"/>
  <sheetViews>
    <sheetView zoomScale="115" zoomScaleNormal="115" workbookViewId="0">
      <selection activeCell="J19" sqref="J19"/>
    </sheetView>
  </sheetViews>
  <sheetFormatPr baseColWidth="10" defaultRowHeight="15" x14ac:dyDescent="0.25"/>
  <cols>
    <col min="4" max="4" width="19.7109375" customWidth="1"/>
    <col min="5" max="5" width="32.85546875" customWidth="1"/>
  </cols>
  <sheetData>
    <row r="1" spans="1:7" x14ac:dyDescent="0.25">
      <c r="A1" s="2" t="s">
        <v>15</v>
      </c>
      <c r="B1" s="2"/>
      <c r="C1" s="2"/>
      <c r="D1" s="7" t="s">
        <v>14</v>
      </c>
      <c r="E1" s="2"/>
      <c r="F1" s="2"/>
      <c r="G1" s="3" t="s">
        <v>13</v>
      </c>
    </row>
    <row r="2" spans="1:7" x14ac:dyDescent="0.25">
      <c r="A2" s="39" t="s">
        <v>19</v>
      </c>
      <c r="B2" s="39"/>
      <c r="C2" s="2"/>
      <c r="D2" s="2"/>
      <c r="E2" s="2"/>
      <c r="F2" s="2"/>
      <c r="G2" s="2"/>
    </row>
    <row r="3" spans="1:7" x14ac:dyDescent="0.25">
      <c r="A3" s="40" t="s">
        <v>0</v>
      </c>
      <c r="B3" s="40" t="s">
        <v>1</v>
      </c>
      <c r="C3" s="41" t="s">
        <v>16</v>
      </c>
      <c r="D3" s="40" t="s">
        <v>17</v>
      </c>
      <c r="E3" s="36" t="s">
        <v>83</v>
      </c>
      <c r="F3" s="8" t="s">
        <v>2</v>
      </c>
      <c r="G3" s="9" t="s">
        <v>4</v>
      </c>
    </row>
    <row r="4" spans="1:7" x14ac:dyDescent="0.25">
      <c r="A4" s="40"/>
      <c r="B4" s="40"/>
      <c r="C4" s="41"/>
      <c r="D4" s="40"/>
      <c r="E4" s="36"/>
      <c r="F4" s="11" t="s">
        <v>3</v>
      </c>
      <c r="G4" s="12" t="s">
        <v>3</v>
      </c>
    </row>
    <row r="5" spans="1:7" ht="45" x14ac:dyDescent="0.25">
      <c r="A5" s="42" t="s">
        <v>6</v>
      </c>
      <c r="B5" s="5" t="s">
        <v>42</v>
      </c>
      <c r="C5" s="5" t="s">
        <v>49</v>
      </c>
      <c r="D5" s="5" t="s">
        <v>127</v>
      </c>
      <c r="E5" s="5"/>
      <c r="F5" s="13">
        <v>4</v>
      </c>
      <c r="G5" s="14"/>
    </row>
    <row r="6" spans="1:7" ht="78.75" x14ac:dyDescent="0.25">
      <c r="A6" s="43"/>
      <c r="B6" s="5"/>
      <c r="C6" s="5" t="s">
        <v>102</v>
      </c>
      <c r="D6" s="4" t="s">
        <v>147</v>
      </c>
      <c r="E6" s="24"/>
      <c r="F6" s="29">
        <v>3</v>
      </c>
      <c r="G6" s="14"/>
    </row>
    <row r="7" spans="1:7" x14ac:dyDescent="0.25">
      <c r="A7" s="43"/>
      <c r="B7" s="5"/>
      <c r="C7" s="5"/>
      <c r="D7" s="5"/>
      <c r="E7" s="5"/>
      <c r="F7" s="13"/>
      <c r="G7" s="14"/>
    </row>
    <row r="8" spans="1:7" x14ac:dyDescent="0.25">
      <c r="A8" s="43"/>
      <c r="B8" s="4"/>
      <c r="C8" s="4"/>
      <c r="D8" s="4"/>
      <c r="E8" s="4"/>
      <c r="F8" s="6"/>
      <c r="G8" s="14"/>
    </row>
    <row r="9" spans="1:7" x14ac:dyDescent="0.25">
      <c r="A9" s="43"/>
      <c r="B9" s="4"/>
      <c r="C9" s="4"/>
      <c r="D9" s="4"/>
      <c r="E9" s="4"/>
      <c r="F9" s="6"/>
      <c r="G9" s="14"/>
    </row>
    <row r="10" spans="1:7" x14ac:dyDescent="0.25">
      <c r="A10" s="43"/>
      <c r="B10" s="4"/>
      <c r="C10" s="4"/>
      <c r="D10" s="4"/>
      <c r="E10" s="4"/>
      <c r="F10" s="6"/>
      <c r="G10" s="14"/>
    </row>
    <row r="11" spans="1:7" x14ac:dyDescent="0.25">
      <c r="A11" s="15" t="s">
        <v>148</v>
      </c>
      <c r="B11" s="16"/>
      <c r="C11" s="16"/>
      <c r="D11" s="16"/>
      <c r="E11" s="17" t="s">
        <v>11</v>
      </c>
      <c r="F11" s="18">
        <f>SUM(F5:F10)</f>
        <v>7</v>
      </c>
      <c r="G11" s="14"/>
    </row>
    <row r="12" spans="1:7" ht="45" x14ac:dyDescent="0.25">
      <c r="A12" s="43" t="s">
        <v>5</v>
      </c>
      <c r="B12" s="5" t="s">
        <v>42</v>
      </c>
      <c r="C12" s="5" t="s">
        <v>49</v>
      </c>
      <c r="D12" s="4" t="s">
        <v>99</v>
      </c>
      <c r="E12" s="5"/>
      <c r="F12" s="13">
        <v>7</v>
      </c>
      <c r="G12" s="14"/>
    </row>
    <row r="13" spans="1:7" x14ac:dyDescent="0.25">
      <c r="A13" s="43"/>
      <c r="B13" s="4"/>
      <c r="C13" s="4"/>
      <c r="D13" s="4"/>
      <c r="E13" s="4"/>
      <c r="F13" s="6"/>
      <c r="G13" s="14"/>
    </row>
    <row r="14" spans="1:7" x14ac:dyDescent="0.25">
      <c r="A14" s="43"/>
      <c r="B14" s="4"/>
      <c r="C14" s="4"/>
      <c r="D14" s="4"/>
      <c r="E14" s="4"/>
      <c r="F14" s="6"/>
      <c r="G14" s="14"/>
    </row>
    <row r="15" spans="1:7" x14ac:dyDescent="0.25">
      <c r="A15" s="43"/>
      <c r="B15" s="4"/>
      <c r="C15" s="4"/>
      <c r="D15" s="4"/>
      <c r="E15" s="4"/>
      <c r="F15" s="6"/>
      <c r="G15" s="14"/>
    </row>
    <row r="16" spans="1:7" x14ac:dyDescent="0.25">
      <c r="A16" s="15" t="s">
        <v>149</v>
      </c>
      <c r="B16" s="16"/>
      <c r="C16" s="16"/>
      <c r="D16" s="16"/>
      <c r="E16" s="17" t="s">
        <v>11</v>
      </c>
      <c r="F16" s="18">
        <f>SUM(F12:F15)</f>
        <v>7</v>
      </c>
      <c r="G16" s="14"/>
    </row>
    <row r="17" spans="1:7" ht="45" x14ac:dyDescent="0.25">
      <c r="A17" s="43" t="s">
        <v>7</v>
      </c>
      <c r="B17" s="5" t="s">
        <v>42</v>
      </c>
      <c r="C17" s="5" t="s">
        <v>49</v>
      </c>
      <c r="D17" s="4" t="s">
        <v>151</v>
      </c>
      <c r="E17" s="5"/>
      <c r="F17" s="13">
        <v>7</v>
      </c>
      <c r="G17" s="14"/>
    </row>
    <row r="18" spans="1:7" x14ac:dyDescent="0.25">
      <c r="A18" s="43"/>
      <c r="B18" s="4"/>
      <c r="C18" s="4"/>
      <c r="D18" s="4"/>
      <c r="E18" s="4"/>
      <c r="F18" s="6"/>
      <c r="G18" s="14"/>
    </row>
    <row r="19" spans="1:7" x14ac:dyDescent="0.25">
      <c r="A19" s="43"/>
      <c r="B19" s="4"/>
      <c r="C19" s="4"/>
      <c r="D19" s="4"/>
      <c r="E19" s="4"/>
      <c r="F19" s="6"/>
      <c r="G19" s="14"/>
    </row>
    <row r="20" spans="1:7" x14ac:dyDescent="0.25">
      <c r="A20" s="43"/>
      <c r="B20" s="4"/>
      <c r="C20" s="4"/>
      <c r="D20" s="4"/>
      <c r="E20" s="4"/>
      <c r="F20" s="6"/>
      <c r="G20" s="14"/>
    </row>
    <row r="21" spans="1:7" x14ac:dyDescent="0.25">
      <c r="A21" s="15" t="s">
        <v>150</v>
      </c>
      <c r="B21" s="16"/>
      <c r="C21" s="16"/>
      <c r="D21" s="16"/>
      <c r="E21" s="17" t="s">
        <v>11</v>
      </c>
      <c r="F21" s="18">
        <f>SUM(F17:F20)</f>
        <v>7</v>
      </c>
      <c r="G21" s="14"/>
    </row>
    <row r="22" spans="1:7" x14ac:dyDescent="0.25">
      <c r="A22" s="43" t="s">
        <v>8</v>
      </c>
      <c r="B22" s="5"/>
      <c r="C22" s="5"/>
      <c r="D22" s="4"/>
      <c r="E22" s="24"/>
      <c r="F22" s="29"/>
      <c r="G22" s="14"/>
    </row>
    <row r="23" spans="1:7" x14ac:dyDescent="0.25">
      <c r="A23" s="43"/>
      <c r="B23" s="4"/>
      <c r="C23" s="4"/>
      <c r="D23" s="4"/>
      <c r="E23" s="4"/>
      <c r="F23" s="6"/>
      <c r="G23" s="14"/>
    </row>
    <row r="24" spans="1:7" x14ac:dyDescent="0.25">
      <c r="A24" s="43"/>
      <c r="B24" s="4"/>
      <c r="C24" s="4"/>
      <c r="D24" s="4"/>
      <c r="E24" s="4"/>
      <c r="F24" s="6"/>
      <c r="G24" s="14"/>
    </row>
    <row r="25" spans="1:7" x14ac:dyDescent="0.25">
      <c r="A25" s="43"/>
      <c r="B25" s="4"/>
      <c r="C25" s="4"/>
      <c r="D25" s="4"/>
      <c r="E25" s="4"/>
      <c r="F25" s="6"/>
      <c r="G25" s="14"/>
    </row>
    <row r="26" spans="1:7" x14ac:dyDescent="0.25">
      <c r="A26" s="43"/>
      <c r="B26" s="4"/>
      <c r="C26" s="4"/>
      <c r="D26" s="4"/>
      <c r="E26" s="4"/>
      <c r="F26" s="6"/>
      <c r="G26" s="14"/>
    </row>
    <row r="27" spans="1:7" x14ac:dyDescent="0.25">
      <c r="A27" s="43"/>
      <c r="B27" s="4"/>
      <c r="C27" s="4"/>
      <c r="D27" s="4"/>
      <c r="E27" s="24"/>
      <c r="F27" s="10"/>
      <c r="G27" s="14"/>
    </row>
    <row r="28" spans="1:7" x14ac:dyDescent="0.25">
      <c r="A28" s="15"/>
      <c r="B28" s="16"/>
      <c r="C28" s="16"/>
      <c r="D28" s="16"/>
      <c r="E28" s="17" t="s">
        <v>11</v>
      </c>
      <c r="F28" s="18">
        <f>SUM(F22:F27)</f>
        <v>0</v>
      </c>
      <c r="G28" s="14"/>
    </row>
    <row r="29" spans="1:7" x14ac:dyDescent="0.25">
      <c r="A29" s="43" t="s">
        <v>9</v>
      </c>
      <c r="B29" s="5"/>
      <c r="C29" s="4"/>
      <c r="D29" s="4"/>
      <c r="E29" s="4"/>
      <c r="F29" s="6"/>
      <c r="G29" s="14"/>
    </row>
    <row r="30" spans="1:7" x14ac:dyDescent="0.25">
      <c r="A30" s="43"/>
      <c r="B30" s="4"/>
      <c r="C30" s="4"/>
      <c r="D30" s="4"/>
      <c r="E30" s="4"/>
      <c r="F30" s="6"/>
      <c r="G30" s="14"/>
    </row>
    <row r="31" spans="1:7" x14ac:dyDescent="0.25">
      <c r="A31" s="43"/>
      <c r="B31" s="4"/>
      <c r="C31" s="5"/>
      <c r="D31" s="4"/>
      <c r="E31" s="24"/>
      <c r="F31" s="29"/>
      <c r="G31" s="14"/>
    </row>
    <row r="32" spans="1:7" x14ac:dyDescent="0.25">
      <c r="A32" s="43"/>
      <c r="B32" s="4"/>
      <c r="C32" s="4"/>
      <c r="D32" s="4"/>
      <c r="E32" s="4"/>
      <c r="F32" s="6"/>
      <c r="G32" s="14"/>
    </row>
    <row r="33" spans="1:7" ht="15" customHeight="1" x14ac:dyDescent="0.25">
      <c r="A33" s="43"/>
      <c r="B33" s="4"/>
      <c r="C33" s="29"/>
      <c r="D33" s="30"/>
      <c r="E33" s="30"/>
      <c r="F33" s="29"/>
      <c r="G33" s="14"/>
    </row>
    <row r="34" spans="1:7" x14ac:dyDescent="0.25">
      <c r="A34" s="43"/>
      <c r="B34" s="4"/>
      <c r="C34" s="29"/>
      <c r="D34" s="29"/>
      <c r="E34" s="29"/>
      <c r="F34" s="29"/>
      <c r="G34" s="14"/>
    </row>
    <row r="35" spans="1:7" x14ac:dyDescent="0.25">
      <c r="A35" s="43"/>
      <c r="B35" s="4"/>
      <c r="C35" s="29"/>
      <c r="D35" s="29"/>
      <c r="E35" s="29"/>
      <c r="F35" s="29"/>
      <c r="G35" s="14"/>
    </row>
    <row r="36" spans="1:7" x14ac:dyDescent="0.25">
      <c r="A36" s="25"/>
      <c r="B36" s="26"/>
      <c r="C36" s="19"/>
      <c r="D36" s="19"/>
      <c r="E36" s="20" t="s">
        <v>11</v>
      </c>
      <c r="F36" s="21">
        <f>SUM(F29:F33)</f>
        <v>0</v>
      </c>
      <c r="G36" s="14"/>
    </row>
    <row r="37" spans="1:7" x14ac:dyDescent="0.25">
      <c r="A37" s="36" t="s">
        <v>10</v>
      </c>
      <c r="B37" s="37"/>
      <c r="C37" s="37"/>
      <c r="D37" s="38"/>
      <c r="E37" s="17"/>
      <c r="F37" s="17" t="s">
        <v>12</v>
      </c>
      <c r="G37" s="22">
        <f>F11+F16+F21+F28+F36</f>
        <v>21</v>
      </c>
    </row>
    <row r="38" spans="1:7" ht="52.5" customHeight="1" x14ac:dyDescent="0.25">
      <c r="A38" s="33" t="s">
        <v>152</v>
      </c>
      <c r="B38" s="34"/>
      <c r="C38" s="34"/>
      <c r="D38" s="34"/>
      <c r="E38" s="34"/>
      <c r="F38" s="34"/>
      <c r="G38" s="35"/>
    </row>
  </sheetData>
  <mergeCells count="13">
    <mergeCell ref="A37:D37"/>
    <mergeCell ref="A38:G38"/>
    <mergeCell ref="A2:B2"/>
    <mergeCell ref="A5:A10"/>
    <mergeCell ref="A12:A15"/>
    <mergeCell ref="A17:A20"/>
    <mergeCell ref="A3:A4"/>
    <mergeCell ref="B3:B4"/>
    <mergeCell ref="C3:C4"/>
    <mergeCell ref="D3:D4"/>
    <mergeCell ref="E3:E4"/>
    <mergeCell ref="A22:A27"/>
    <mergeCell ref="A29:A35"/>
  </mergeCells>
  <conditionalFormatting sqref="F5 F7:F21 F23:F26 F28:F30 F32 F36">
    <cfRule type="containsText" dxfId="19" priority="1" operator="containsText" text="Terminé">
      <formula>NOT(ISERROR(SEARCH("Terminé",F5)))</formula>
    </cfRule>
    <cfRule type="containsText" dxfId="18" priority="2" operator="containsText" text="En cours">
      <formula>NOT(ISERROR(SEARCH("En cours",F5)))</formula>
    </cfRule>
  </conditionalFormatting>
  <conditionalFormatting sqref="G37">
    <cfRule type="containsText" dxfId="17" priority="3" operator="containsText" text="Terminé">
      <formula>NOT(ISERROR(SEARCH("Terminé",G37)))</formula>
    </cfRule>
    <cfRule type="containsText" dxfId="16" priority="4" operator="containsText" text="En cours">
      <formula>NOT(ISERROR(SEARCH("En cours",G37)))</formula>
    </cfRule>
  </conditionalFormatting>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9E5B0-34FE-4205-89D1-6452FC37D50D}">
  <dimension ref="A1:G39"/>
  <sheetViews>
    <sheetView topLeftCell="A19" zoomScale="115" zoomScaleNormal="115" workbookViewId="0">
      <selection activeCell="A33" sqref="A33:G39"/>
    </sheetView>
  </sheetViews>
  <sheetFormatPr baseColWidth="10" defaultRowHeight="15" x14ac:dyDescent="0.25"/>
  <cols>
    <col min="4" max="4" width="17.85546875" customWidth="1"/>
    <col min="5" max="5" width="30" customWidth="1"/>
  </cols>
  <sheetData>
    <row r="1" spans="1:7" x14ac:dyDescent="0.25">
      <c r="A1" s="2" t="s">
        <v>15</v>
      </c>
      <c r="B1" s="2"/>
      <c r="C1" s="2"/>
      <c r="D1" s="7" t="s">
        <v>14</v>
      </c>
      <c r="E1" s="2"/>
      <c r="F1" s="2"/>
      <c r="G1" s="3" t="s">
        <v>13</v>
      </c>
    </row>
    <row r="2" spans="1:7" x14ac:dyDescent="0.25">
      <c r="A2" s="39" t="s">
        <v>19</v>
      </c>
      <c r="B2" s="39"/>
      <c r="C2" s="2"/>
      <c r="D2" s="2"/>
      <c r="E2" s="2"/>
      <c r="F2" s="2"/>
      <c r="G2" s="2"/>
    </row>
    <row r="3" spans="1:7" x14ac:dyDescent="0.25">
      <c r="A3" s="40" t="s">
        <v>0</v>
      </c>
      <c r="B3" s="40" t="s">
        <v>1</v>
      </c>
      <c r="C3" s="41" t="s">
        <v>16</v>
      </c>
      <c r="D3" s="40" t="s">
        <v>17</v>
      </c>
      <c r="E3" s="36" t="s">
        <v>18</v>
      </c>
      <c r="F3" s="8" t="s">
        <v>2</v>
      </c>
      <c r="G3" s="9" t="s">
        <v>4</v>
      </c>
    </row>
    <row r="4" spans="1:7" x14ac:dyDescent="0.25">
      <c r="A4" s="40"/>
      <c r="B4" s="40"/>
      <c r="C4" s="41"/>
      <c r="D4" s="40"/>
      <c r="E4" s="36"/>
      <c r="F4" s="11" t="s">
        <v>3</v>
      </c>
      <c r="G4" s="12" t="s">
        <v>3</v>
      </c>
    </row>
    <row r="5" spans="1:7" x14ac:dyDescent="0.25">
      <c r="A5" s="42" t="s">
        <v>6</v>
      </c>
      <c r="B5" s="5"/>
      <c r="C5" s="5"/>
      <c r="D5" s="4"/>
      <c r="E5" s="5"/>
      <c r="F5" s="13"/>
      <c r="G5" s="14"/>
    </row>
    <row r="6" spans="1:7" x14ac:dyDescent="0.25">
      <c r="A6" s="43"/>
      <c r="B6" s="5"/>
      <c r="C6" s="5"/>
      <c r="D6" s="5"/>
      <c r="E6" s="5"/>
      <c r="F6" s="13"/>
      <c r="G6" s="14"/>
    </row>
    <row r="7" spans="1:7" x14ac:dyDescent="0.25">
      <c r="A7" s="43"/>
      <c r="B7" s="5"/>
      <c r="C7" s="5"/>
      <c r="D7" s="5"/>
      <c r="E7" s="5"/>
      <c r="F7" s="13"/>
      <c r="G7" s="14"/>
    </row>
    <row r="8" spans="1:7" x14ac:dyDescent="0.25">
      <c r="A8" s="43"/>
      <c r="B8" s="4"/>
      <c r="C8" s="4"/>
      <c r="D8" s="4"/>
      <c r="E8" s="4"/>
      <c r="F8" s="6"/>
      <c r="G8" s="14"/>
    </row>
    <row r="9" spans="1:7" x14ac:dyDescent="0.25">
      <c r="A9" s="43"/>
      <c r="B9" s="4"/>
      <c r="C9" s="4"/>
      <c r="D9" s="4"/>
      <c r="E9" s="4"/>
      <c r="F9" s="6"/>
      <c r="G9" s="14"/>
    </row>
    <row r="10" spans="1:7" x14ac:dyDescent="0.25">
      <c r="A10" s="43"/>
      <c r="B10" s="4"/>
      <c r="C10" s="4"/>
      <c r="D10" s="4"/>
      <c r="E10" s="4"/>
      <c r="F10" s="6"/>
      <c r="G10" s="14"/>
    </row>
    <row r="11" spans="1:7" x14ac:dyDescent="0.25">
      <c r="A11" s="15" t="s">
        <v>20</v>
      </c>
      <c r="B11" s="16"/>
      <c r="C11" s="16"/>
      <c r="D11" s="16"/>
      <c r="E11" s="17" t="s">
        <v>11</v>
      </c>
      <c r="F11" s="18">
        <f>SUM(F5:F10)</f>
        <v>0</v>
      </c>
      <c r="G11" s="14"/>
    </row>
    <row r="12" spans="1:7" x14ac:dyDescent="0.25">
      <c r="A12" s="43" t="s">
        <v>5</v>
      </c>
      <c r="B12" s="4"/>
      <c r="C12" s="5"/>
      <c r="D12" s="4"/>
      <c r="E12" s="4"/>
      <c r="F12" s="6"/>
      <c r="G12" s="14"/>
    </row>
    <row r="13" spans="1:7" x14ac:dyDescent="0.25">
      <c r="A13" s="43"/>
      <c r="B13" s="4"/>
      <c r="C13" s="4"/>
      <c r="D13" s="4"/>
      <c r="E13" s="4"/>
      <c r="F13" s="6"/>
      <c r="G13" s="14"/>
    </row>
    <row r="14" spans="1:7" x14ac:dyDescent="0.25">
      <c r="A14" s="43"/>
      <c r="B14" s="4"/>
      <c r="C14" s="4"/>
      <c r="D14" s="4"/>
      <c r="E14" s="4"/>
      <c r="F14" s="6"/>
      <c r="G14" s="14"/>
    </row>
    <row r="15" spans="1:7" x14ac:dyDescent="0.25">
      <c r="A15" s="43"/>
      <c r="B15" s="4"/>
      <c r="C15" s="4"/>
      <c r="D15" s="4"/>
      <c r="E15" s="4"/>
      <c r="F15" s="6"/>
      <c r="G15" s="14"/>
    </row>
    <row r="16" spans="1:7" x14ac:dyDescent="0.25">
      <c r="A16" s="15" t="s">
        <v>21</v>
      </c>
      <c r="B16" s="16"/>
      <c r="C16" s="16"/>
      <c r="D16" s="16"/>
      <c r="E16" s="17" t="s">
        <v>11</v>
      </c>
      <c r="F16" s="18">
        <f>SUM(F12:F15)</f>
        <v>0</v>
      </c>
      <c r="G16" s="14"/>
    </row>
    <row r="17" spans="1:7" x14ac:dyDescent="0.25">
      <c r="A17" s="43" t="s">
        <v>7</v>
      </c>
      <c r="B17" s="4"/>
      <c r="C17" s="5"/>
      <c r="D17" s="4"/>
      <c r="E17" s="4"/>
      <c r="F17" s="6"/>
      <c r="G17" s="14"/>
    </row>
    <row r="18" spans="1:7" x14ac:dyDescent="0.25">
      <c r="A18" s="43"/>
      <c r="B18" s="4"/>
      <c r="C18" s="4"/>
      <c r="D18" s="4"/>
      <c r="E18" s="4"/>
      <c r="F18" s="6"/>
      <c r="G18" s="14"/>
    </row>
    <row r="19" spans="1:7" x14ac:dyDescent="0.25">
      <c r="A19" s="43"/>
      <c r="B19" s="4"/>
      <c r="C19" s="4"/>
      <c r="D19" s="4"/>
      <c r="E19" s="4"/>
      <c r="F19" s="6"/>
      <c r="G19" s="14"/>
    </row>
    <row r="20" spans="1:7" x14ac:dyDescent="0.25">
      <c r="A20" s="43"/>
      <c r="B20" s="4"/>
      <c r="C20" s="4"/>
      <c r="D20" s="10"/>
      <c r="E20" s="4"/>
      <c r="F20" s="6"/>
      <c r="G20" s="14"/>
    </row>
    <row r="21" spans="1:7" x14ac:dyDescent="0.25">
      <c r="A21" s="15" t="s">
        <v>22</v>
      </c>
      <c r="B21" s="16"/>
      <c r="C21" s="16"/>
      <c r="D21" s="16"/>
      <c r="E21" s="17" t="s">
        <v>11</v>
      </c>
      <c r="F21" s="18">
        <f>SUM(F17:F20)</f>
        <v>0</v>
      </c>
      <c r="G21" s="14"/>
    </row>
    <row r="22" spans="1:7" x14ac:dyDescent="0.25">
      <c r="A22" s="43" t="s">
        <v>8</v>
      </c>
      <c r="B22" s="4"/>
      <c r="C22" s="4"/>
      <c r="D22" s="4"/>
      <c r="E22" s="4"/>
      <c r="F22" s="6"/>
      <c r="G22" s="14"/>
    </row>
    <row r="23" spans="1:7" x14ac:dyDescent="0.25">
      <c r="A23" s="43"/>
      <c r="B23" s="4"/>
      <c r="C23" s="4"/>
      <c r="D23" s="4"/>
      <c r="E23" s="4"/>
      <c r="F23" s="6"/>
      <c r="G23" s="14"/>
    </row>
    <row r="24" spans="1:7" x14ac:dyDescent="0.25">
      <c r="A24" s="43"/>
      <c r="B24" s="4"/>
      <c r="C24" s="4"/>
      <c r="D24" s="4"/>
      <c r="E24" s="4"/>
      <c r="F24" s="6"/>
      <c r="G24" s="14"/>
    </row>
    <row r="25" spans="1:7" x14ac:dyDescent="0.25">
      <c r="A25" s="43"/>
      <c r="B25" s="4"/>
      <c r="C25" s="4"/>
      <c r="D25" s="4"/>
      <c r="E25" s="4"/>
      <c r="F25" s="6"/>
      <c r="G25" s="14"/>
    </row>
    <row r="26" spans="1:7" x14ac:dyDescent="0.25">
      <c r="A26" s="15" t="s">
        <v>23</v>
      </c>
      <c r="B26" s="16"/>
      <c r="C26" s="16"/>
      <c r="D26" s="16"/>
      <c r="E26" s="17" t="s">
        <v>11</v>
      </c>
      <c r="F26" s="18">
        <f>SUM(F22:F25)</f>
        <v>0</v>
      </c>
      <c r="G26" s="14"/>
    </row>
    <row r="27" spans="1:7" x14ac:dyDescent="0.25">
      <c r="A27" s="43" t="s">
        <v>9</v>
      </c>
      <c r="B27" s="4"/>
      <c r="C27" s="4"/>
      <c r="D27" s="4"/>
      <c r="E27" s="4"/>
      <c r="F27" s="6"/>
      <c r="G27" s="14"/>
    </row>
    <row r="28" spans="1:7" x14ac:dyDescent="0.25">
      <c r="A28" s="43"/>
      <c r="B28" s="4"/>
      <c r="C28" s="4"/>
      <c r="D28" s="4"/>
      <c r="E28" s="4"/>
      <c r="F28" s="6"/>
      <c r="G28" s="14"/>
    </row>
    <row r="29" spans="1:7" x14ac:dyDescent="0.25">
      <c r="A29" s="43"/>
      <c r="B29" s="4"/>
      <c r="C29" s="4"/>
      <c r="D29" s="4"/>
      <c r="E29" s="4"/>
      <c r="F29" s="6"/>
      <c r="G29" s="14"/>
    </row>
    <row r="30" spans="1:7" x14ac:dyDescent="0.25">
      <c r="A30" s="43"/>
      <c r="B30" s="4"/>
      <c r="C30" s="4"/>
      <c r="D30" s="4"/>
      <c r="E30" s="4"/>
      <c r="F30" s="6"/>
      <c r="G30" s="14"/>
    </row>
    <row r="31" spans="1:7" x14ac:dyDescent="0.25">
      <c r="A31" s="15" t="s">
        <v>24</v>
      </c>
      <c r="B31" s="19"/>
      <c r="C31" s="19"/>
      <c r="D31" s="19"/>
      <c r="E31" s="20" t="s">
        <v>11</v>
      </c>
      <c r="F31" s="21">
        <f>SUM(F27:F30)</f>
        <v>0</v>
      </c>
      <c r="G31" s="14"/>
    </row>
    <row r="32" spans="1:7" x14ac:dyDescent="0.25">
      <c r="A32" s="40" t="s">
        <v>10</v>
      </c>
      <c r="B32" s="40"/>
      <c r="C32" s="40"/>
      <c r="D32" s="40"/>
      <c r="E32" s="17"/>
      <c r="F32" s="17" t="s">
        <v>12</v>
      </c>
      <c r="G32" s="22">
        <f>F11+F16+F21+F26+F31</f>
        <v>0</v>
      </c>
    </row>
    <row r="33" spans="1:7" ht="15" customHeight="1" x14ac:dyDescent="0.25">
      <c r="A33" s="44"/>
      <c r="B33" s="44"/>
      <c r="C33" s="44"/>
      <c r="D33" s="44"/>
      <c r="E33" s="44"/>
      <c r="F33" s="44"/>
      <c r="G33" s="44"/>
    </row>
    <row r="34" spans="1:7" x14ac:dyDescent="0.25">
      <c r="A34" s="45"/>
      <c r="B34" s="45"/>
      <c r="C34" s="45"/>
      <c r="D34" s="45"/>
      <c r="E34" s="45"/>
      <c r="F34" s="45"/>
      <c r="G34" s="45"/>
    </row>
    <row r="35" spans="1:7" x14ac:dyDescent="0.25">
      <c r="A35" s="45"/>
      <c r="B35" s="45"/>
      <c r="C35" s="45"/>
      <c r="D35" s="45"/>
      <c r="E35" s="45"/>
      <c r="F35" s="45"/>
      <c r="G35" s="45"/>
    </row>
    <row r="36" spans="1:7" x14ac:dyDescent="0.25">
      <c r="A36" s="45"/>
      <c r="B36" s="45"/>
      <c r="C36" s="45"/>
      <c r="D36" s="45"/>
      <c r="E36" s="45"/>
      <c r="F36" s="45"/>
      <c r="G36" s="45"/>
    </row>
    <row r="37" spans="1:7" x14ac:dyDescent="0.25">
      <c r="A37" s="45"/>
      <c r="B37" s="45"/>
      <c r="C37" s="45"/>
      <c r="D37" s="45"/>
      <c r="E37" s="45"/>
      <c r="F37" s="45"/>
      <c r="G37" s="45"/>
    </row>
    <row r="38" spans="1:7" x14ac:dyDescent="0.25">
      <c r="A38" s="45"/>
      <c r="B38" s="45"/>
      <c r="C38" s="45"/>
      <c r="D38" s="45"/>
      <c r="E38" s="45"/>
      <c r="F38" s="45"/>
      <c r="G38" s="45"/>
    </row>
    <row r="39" spans="1:7" x14ac:dyDescent="0.25">
      <c r="A39" s="45"/>
      <c r="B39" s="45"/>
      <c r="C39" s="45"/>
      <c r="D39" s="45"/>
      <c r="E39" s="45"/>
      <c r="F39" s="45"/>
      <c r="G39" s="45"/>
    </row>
  </sheetData>
  <mergeCells count="13">
    <mergeCell ref="A33:G39"/>
    <mergeCell ref="C3:C4"/>
    <mergeCell ref="D3:D4"/>
    <mergeCell ref="E3:E4"/>
    <mergeCell ref="A27:A30"/>
    <mergeCell ref="A32:D32"/>
    <mergeCell ref="A2:B2"/>
    <mergeCell ref="A5:A10"/>
    <mergeCell ref="A12:A15"/>
    <mergeCell ref="A17:A20"/>
    <mergeCell ref="A22:A25"/>
    <mergeCell ref="A3:A4"/>
    <mergeCell ref="B3:B4"/>
  </mergeCells>
  <conditionalFormatting sqref="F5:F31">
    <cfRule type="containsText" dxfId="15" priority="1" operator="containsText" text="Terminé">
      <formula>NOT(ISERROR(SEARCH("Terminé",F5)))</formula>
    </cfRule>
    <cfRule type="containsText" dxfId="14" priority="2" operator="containsText" text="En cours">
      <formula>NOT(ISERROR(SEARCH("En cours",F5)))</formula>
    </cfRule>
  </conditionalFormatting>
  <conditionalFormatting sqref="G32">
    <cfRule type="containsText" dxfId="13" priority="3" operator="containsText" text="Terminé">
      <formula>NOT(ISERROR(SEARCH("Terminé",G32)))</formula>
    </cfRule>
    <cfRule type="containsText" dxfId="12" priority="4" operator="containsText" text="En cours">
      <formula>NOT(ISERROR(SEARCH("En cours",G32)))</formula>
    </cfRule>
  </conditionalFormatting>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8995-69C5-4415-B491-47DB456548C7}">
  <dimension ref="A1:G39"/>
  <sheetViews>
    <sheetView topLeftCell="A7" workbookViewId="0">
      <selection activeCell="A33" sqref="A33:G39"/>
    </sheetView>
  </sheetViews>
  <sheetFormatPr baseColWidth="10" defaultRowHeight="15" x14ac:dyDescent="0.25"/>
  <cols>
    <col min="4" max="4" width="16.5703125" customWidth="1"/>
    <col min="5" max="5" width="33.42578125" customWidth="1"/>
  </cols>
  <sheetData>
    <row r="1" spans="1:7" x14ac:dyDescent="0.25">
      <c r="A1" s="2" t="s">
        <v>15</v>
      </c>
      <c r="B1" s="2"/>
      <c r="C1" s="2"/>
      <c r="D1" s="7" t="s">
        <v>14</v>
      </c>
      <c r="E1" s="2"/>
      <c r="F1" s="2"/>
      <c r="G1" s="3" t="s">
        <v>13</v>
      </c>
    </row>
    <row r="2" spans="1:7" x14ac:dyDescent="0.25">
      <c r="A2" s="39" t="s">
        <v>19</v>
      </c>
      <c r="B2" s="39"/>
      <c r="C2" s="2"/>
      <c r="D2" s="2"/>
      <c r="E2" s="2"/>
      <c r="F2" s="2"/>
      <c r="G2" s="2"/>
    </row>
    <row r="3" spans="1:7" x14ac:dyDescent="0.25">
      <c r="A3" s="40" t="s">
        <v>0</v>
      </c>
      <c r="B3" s="40" t="s">
        <v>1</v>
      </c>
      <c r="C3" s="41" t="s">
        <v>16</v>
      </c>
      <c r="D3" s="40" t="s">
        <v>17</v>
      </c>
      <c r="E3" s="36" t="s">
        <v>18</v>
      </c>
      <c r="F3" s="8" t="s">
        <v>2</v>
      </c>
      <c r="G3" s="9" t="s">
        <v>4</v>
      </c>
    </row>
    <row r="4" spans="1:7" x14ac:dyDescent="0.25">
      <c r="A4" s="40"/>
      <c r="B4" s="40"/>
      <c r="C4" s="41"/>
      <c r="D4" s="40"/>
      <c r="E4" s="36"/>
      <c r="F4" s="11" t="s">
        <v>3</v>
      </c>
      <c r="G4" s="12" t="s">
        <v>3</v>
      </c>
    </row>
    <row r="5" spans="1:7" x14ac:dyDescent="0.25">
      <c r="A5" s="42" t="s">
        <v>6</v>
      </c>
      <c r="B5" s="5"/>
      <c r="C5" s="5"/>
      <c r="D5" s="4"/>
      <c r="E5" s="5"/>
      <c r="F5" s="13"/>
      <c r="G5" s="14"/>
    </row>
    <row r="6" spans="1:7" x14ac:dyDescent="0.25">
      <c r="A6" s="43"/>
      <c r="B6" s="5"/>
      <c r="C6" s="5"/>
      <c r="D6" s="5"/>
      <c r="E6" s="5"/>
      <c r="F6" s="13"/>
      <c r="G6" s="14"/>
    </row>
    <row r="7" spans="1:7" x14ac:dyDescent="0.25">
      <c r="A7" s="43"/>
      <c r="B7" s="5"/>
      <c r="C7" s="5"/>
      <c r="D7" s="5"/>
      <c r="E7" s="5"/>
      <c r="F7" s="13"/>
      <c r="G7" s="14"/>
    </row>
    <row r="8" spans="1:7" x14ac:dyDescent="0.25">
      <c r="A8" s="43"/>
      <c r="B8" s="4"/>
      <c r="C8" s="4"/>
      <c r="D8" s="4"/>
      <c r="E8" s="4"/>
      <c r="F8" s="6"/>
      <c r="G8" s="14"/>
    </row>
    <row r="9" spans="1:7" x14ac:dyDescent="0.25">
      <c r="A9" s="43"/>
      <c r="B9" s="4"/>
      <c r="C9" s="4"/>
      <c r="D9" s="4"/>
      <c r="E9" s="4"/>
      <c r="F9" s="6"/>
      <c r="G9" s="14"/>
    </row>
    <row r="10" spans="1:7" x14ac:dyDescent="0.25">
      <c r="A10" s="43"/>
      <c r="B10" s="4"/>
      <c r="C10" s="4"/>
      <c r="D10" s="4"/>
      <c r="E10" s="4"/>
      <c r="F10" s="6"/>
      <c r="G10" s="14"/>
    </row>
    <row r="11" spans="1:7" x14ac:dyDescent="0.25">
      <c r="A11" s="15" t="s">
        <v>29</v>
      </c>
      <c r="B11" s="16"/>
      <c r="C11" s="16"/>
      <c r="D11" s="16"/>
      <c r="E11" s="17" t="s">
        <v>11</v>
      </c>
      <c r="F11" s="18">
        <f>SUM(F5:F10)</f>
        <v>0</v>
      </c>
      <c r="G11" s="14"/>
    </row>
    <row r="12" spans="1:7" x14ac:dyDescent="0.25">
      <c r="A12" s="43" t="s">
        <v>5</v>
      </c>
      <c r="B12" s="4"/>
      <c r="C12" s="4"/>
      <c r="D12" s="4"/>
      <c r="E12" s="4"/>
      <c r="F12" s="6"/>
      <c r="G12" s="14"/>
    </row>
    <row r="13" spans="1:7" x14ac:dyDescent="0.25">
      <c r="A13" s="43"/>
      <c r="B13" s="4"/>
      <c r="C13" s="4"/>
      <c r="D13" s="4"/>
      <c r="E13" s="4"/>
      <c r="F13" s="6"/>
      <c r="G13" s="14"/>
    </row>
    <row r="14" spans="1:7" x14ac:dyDescent="0.25">
      <c r="A14" s="43"/>
      <c r="B14" s="4"/>
      <c r="C14" s="4"/>
      <c r="D14" s="4"/>
      <c r="E14" s="4"/>
      <c r="F14" s="6"/>
      <c r="G14" s="14"/>
    </row>
    <row r="15" spans="1:7" x14ac:dyDescent="0.25">
      <c r="A15" s="43"/>
      <c r="B15" s="4"/>
      <c r="C15" s="4"/>
      <c r="D15" s="4"/>
      <c r="E15" s="4"/>
      <c r="F15" s="6"/>
      <c r="G15" s="14"/>
    </row>
    <row r="16" spans="1:7" x14ac:dyDescent="0.25">
      <c r="A16" s="15" t="s">
        <v>28</v>
      </c>
      <c r="B16" s="16"/>
      <c r="C16" s="16"/>
      <c r="D16" s="16"/>
      <c r="E16" s="17" t="s">
        <v>11</v>
      </c>
      <c r="F16" s="18">
        <f>SUM(F12:F15)</f>
        <v>0</v>
      </c>
      <c r="G16" s="14"/>
    </row>
    <row r="17" spans="1:7" x14ac:dyDescent="0.25">
      <c r="A17" s="43" t="s">
        <v>7</v>
      </c>
      <c r="B17" s="4"/>
      <c r="C17" s="4"/>
      <c r="D17" s="4"/>
      <c r="E17" s="4"/>
      <c r="F17" s="6"/>
      <c r="G17" s="14"/>
    </row>
    <row r="18" spans="1:7" x14ac:dyDescent="0.25">
      <c r="A18" s="43"/>
      <c r="B18" s="4"/>
      <c r="C18" s="4"/>
      <c r="D18" s="4"/>
      <c r="E18" s="4"/>
      <c r="F18" s="6"/>
      <c r="G18" s="14"/>
    </row>
    <row r="19" spans="1:7" x14ac:dyDescent="0.25">
      <c r="A19" s="43"/>
      <c r="B19" s="4"/>
      <c r="C19" s="4"/>
      <c r="D19" s="4"/>
      <c r="E19" s="4"/>
      <c r="F19" s="6"/>
      <c r="G19" s="14"/>
    </row>
    <row r="20" spans="1:7" x14ac:dyDescent="0.25">
      <c r="A20" s="43"/>
      <c r="B20" s="4"/>
      <c r="C20" s="4"/>
      <c r="D20" s="10"/>
      <c r="E20" s="4"/>
      <c r="F20" s="6"/>
      <c r="G20" s="14"/>
    </row>
    <row r="21" spans="1:7" x14ac:dyDescent="0.25">
      <c r="A21" s="15" t="s">
        <v>27</v>
      </c>
      <c r="B21" s="16"/>
      <c r="C21" s="16"/>
      <c r="D21" s="16"/>
      <c r="E21" s="17" t="s">
        <v>11</v>
      </c>
      <c r="F21" s="18">
        <f>SUM(F17:F20)</f>
        <v>0</v>
      </c>
      <c r="G21" s="14"/>
    </row>
    <row r="22" spans="1:7" x14ac:dyDescent="0.25">
      <c r="A22" s="43" t="s">
        <v>8</v>
      </c>
      <c r="B22" s="4"/>
      <c r="C22" s="4"/>
      <c r="D22" s="4"/>
      <c r="E22" s="4"/>
      <c r="F22" s="6"/>
      <c r="G22" s="14"/>
    </row>
    <row r="23" spans="1:7" x14ac:dyDescent="0.25">
      <c r="A23" s="43"/>
      <c r="B23" s="4"/>
      <c r="C23" s="4"/>
      <c r="D23" s="4"/>
      <c r="E23" s="4"/>
      <c r="F23" s="6"/>
      <c r="G23" s="14"/>
    </row>
    <row r="24" spans="1:7" x14ac:dyDescent="0.25">
      <c r="A24" s="43"/>
      <c r="B24" s="4"/>
      <c r="C24" s="4"/>
      <c r="D24" s="4"/>
      <c r="E24" s="4"/>
      <c r="F24" s="6"/>
      <c r="G24" s="14"/>
    </row>
    <row r="25" spans="1:7" x14ac:dyDescent="0.25">
      <c r="A25" s="43"/>
      <c r="B25" s="4"/>
      <c r="C25" s="4"/>
      <c r="D25" s="4"/>
      <c r="E25" s="4"/>
      <c r="F25" s="6"/>
      <c r="G25" s="14"/>
    </row>
    <row r="26" spans="1:7" x14ac:dyDescent="0.25">
      <c r="A26" s="15" t="s">
        <v>26</v>
      </c>
      <c r="B26" s="16"/>
      <c r="C26" s="16"/>
      <c r="D26" s="16"/>
      <c r="E26" s="17" t="s">
        <v>11</v>
      </c>
      <c r="F26" s="18">
        <f>SUM(F22:F25)</f>
        <v>0</v>
      </c>
      <c r="G26" s="14"/>
    </row>
    <row r="27" spans="1:7" x14ac:dyDescent="0.25">
      <c r="A27" s="43" t="s">
        <v>9</v>
      </c>
      <c r="B27" s="4"/>
      <c r="C27" s="4"/>
      <c r="D27" s="4"/>
      <c r="E27" s="4"/>
      <c r="F27" s="6"/>
      <c r="G27" s="14"/>
    </row>
    <row r="28" spans="1:7" x14ac:dyDescent="0.25">
      <c r="A28" s="43"/>
      <c r="B28" s="4"/>
      <c r="C28" s="4"/>
      <c r="D28" s="4"/>
      <c r="E28" s="4"/>
      <c r="F28" s="6"/>
      <c r="G28" s="14"/>
    </row>
    <row r="29" spans="1:7" x14ac:dyDescent="0.25">
      <c r="A29" s="43"/>
      <c r="B29" s="4"/>
      <c r="C29" s="4"/>
      <c r="D29" s="4"/>
      <c r="E29" s="4"/>
      <c r="F29" s="6"/>
      <c r="G29" s="14"/>
    </row>
    <row r="30" spans="1:7" x14ac:dyDescent="0.25">
      <c r="A30" s="43"/>
      <c r="B30" s="4"/>
      <c r="C30" s="4"/>
      <c r="D30" s="4"/>
      <c r="E30" s="4"/>
      <c r="F30" s="6"/>
      <c r="G30" s="14"/>
    </row>
    <row r="31" spans="1:7" x14ac:dyDescent="0.25">
      <c r="A31" s="15" t="s">
        <v>25</v>
      </c>
      <c r="B31" s="19"/>
      <c r="C31" s="19"/>
      <c r="D31" s="19"/>
      <c r="E31" s="20" t="s">
        <v>11</v>
      </c>
      <c r="F31" s="21">
        <f>SUM(F27:F30)</f>
        <v>0</v>
      </c>
      <c r="G31" s="14"/>
    </row>
    <row r="32" spans="1:7" x14ac:dyDescent="0.25">
      <c r="A32" s="40" t="s">
        <v>10</v>
      </c>
      <c r="B32" s="40"/>
      <c r="C32" s="40"/>
      <c r="D32" s="40"/>
      <c r="E32" s="17"/>
      <c r="F32" s="17" t="s">
        <v>12</v>
      </c>
      <c r="G32" s="22">
        <f>F11+F16+F21+F26+F31</f>
        <v>0</v>
      </c>
    </row>
    <row r="33" spans="1:7" x14ac:dyDescent="0.25">
      <c r="A33" s="44"/>
      <c r="B33" s="44"/>
      <c r="C33" s="44"/>
      <c r="D33" s="44"/>
      <c r="E33" s="44"/>
      <c r="F33" s="44"/>
      <c r="G33" s="44"/>
    </row>
    <row r="34" spans="1:7" x14ac:dyDescent="0.25">
      <c r="A34" s="45"/>
      <c r="B34" s="45"/>
      <c r="C34" s="45"/>
      <c r="D34" s="45"/>
      <c r="E34" s="45"/>
      <c r="F34" s="45"/>
      <c r="G34" s="45"/>
    </row>
    <row r="35" spans="1:7" x14ac:dyDescent="0.25">
      <c r="A35" s="45"/>
      <c r="B35" s="45"/>
      <c r="C35" s="45"/>
      <c r="D35" s="45"/>
      <c r="E35" s="45"/>
      <c r="F35" s="45"/>
      <c r="G35" s="45"/>
    </row>
    <row r="36" spans="1:7" x14ac:dyDescent="0.25">
      <c r="A36" s="45"/>
      <c r="B36" s="45"/>
      <c r="C36" s="45"/>
      <c r="D36" s="45"/>
      <c r="E36" s="45"/>
      <c r="F36" s="45"/>
      <c r="G36" s="45"/>
    </row>
    <row r="37" spans="1:7" x14ac:dyDescent="0.25">
      <c r="A37" s="45"/>
      <c r="B37" s="45"/>
      <c r="C37" s="45"/>
      <c r="D37" s="45"/>
      <c r="E37" s="45"/>
      <c r="F37" s="45"/>
      <c r="G37" s="45"/>
    </row>
    <row r="38" spans="1:7" x14ac:dyDescent="0.25">
      <c r="A38" s="45"/>
      <c r="B38" s="45"/>
      <c r="C38" s="45"/>
      <c r="D38" s="45"/>
      <c r="E38" s="45"/>
      <c r="F38" s="45"/>
      <c r="G38" s="45"/>
    </row>
    <row r="39" spans="1:7" x14ac:dyDescent="0.25">
      <c r="A39" s="45"/>
      <c r="B39" s="45"/>
      <c r="C39" s="45"/>
      <c r="D39" s="45"/>
      <c r="E39" s="45"/>
      <c r="F39" s="45"/>
      <c r="G39" s="45"/>
    </row>
  </sheetData>
  <mergeCells count="13">
    <mergeCell ref="A33:G39"/>
    <mergeCell ref="A2:B2"/>
    <mergeCell ref="A5:A10"/>
    <mergeCell ref="A12:A15"/>
    <mergeCell ref="A17:A20"/>
    <mergeCell ref="A22:A25"/>
    <mergeCell ref="A3:A4"/>
    <mergeCell ref="B3:B4"/>
    <mergeCell ref="C3:C4"/>
    <mergeCell ref="D3:D4"/>
    <mergeCell ref="E3:E4"/>
    <mergeCell ref="A27:A30"/>
    <mergeCell ref="A32:D32"/>
  </mergeCells>
  <conditionalFormatting sqref="F5:F31">
    <cfRule type="containsText" dxfId="11" priority="1" operator="containsText" text="Terminé">
      <formula>NOT(ISERROR(SEARCH("Terminé",F5)))</formula>
    </cfRule>
    <cfRule type="containsText" dxfId="10" priority="2" operator="containsText" text="En cours">
      <formula>NOT(ISERROR(SEARCH("En cours",F5)))</formula>
    </cfRule>
  </conditionalFormatting>
  <conditionalFormatting sqref="G32">
    <cfRule type="containsText" dxfId="9" priority="3" operator="containsText" text="Terminé">
      <formula>NOT(ISERROR(SEARCH("Terminé",G32)))</formula>
    </cfRule>
    <cfRule type="containsText" dxfId="8" priority="4" operator="containsText" text="En cours">
      <formula>NOT(ISERROR(SEARCH("En cours",G32)))</formula>
    </cfRule>
  </conditionalFormatting>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D56E-805D-4CA4-A4B5-6A8EEF788C7C}">
  <dimension ref="A1:G39"/>
  <sheetViews>
    <sheetView workbookViewId="0">
      <selection activeCell="A33" sqref="A33:G39"/>
    </sheetView>
  </sheetViews>
  <sheetFormatPr baseColWidth="10" defaultRowHeight="15" x14ac:dyDescent="0.25"/>
  <cols>
    <col min="4" max="4" width="17.42578125" customWidth="1"/>
    <col min="5" max="5" width="22.85546875" customWidth="1"/>
  </cols>
  <sheetData>
    <row r="1" spans="1:7" x14ac:dyDescent="0.25">
      <c r="A1" s="2" t="s">
        <v>15</v>
      </c>
      <c r="B1" s="2"/>
      <c r="C1" s="2"/>
      <c r="D1" s="7" t="s">
        <v>14</v>
      </c>
      <c r="E1" s="2"/>
      <c r="F1" s="2"/>
      <c r="G1" s="3" t="s">
        <v>13</v>
      </c>
    </row>
    <row r="2" spans="1:7" x14ac:dyDescent="0.25">
      <c r="A2" s="39" t="s">
        <v>19</v>
      </c>
      <c r="B2" s="39"/>
      <c r="C2" s="2"/>
      <c r="D2" s="2"/>
      <c r="E2" s="2"/>
      <c r="F2" s="2"/>
      <c r="G2" s="2"/>
    </row>
    <row r="3" spans="1:7" x14ac:dyDescent="0.25">
      <c r="A3" s="40" t="s">
        <v>0</v>
      </c>
      <c r="B3" s="40" t="s">
        <v>1</v>
      </c>
      <c r="C3" s="41" t="s">
        <v>16</v>
      </c>
      <c r="D3" s="40" t="s">
        <v>17</v>
      </c>
      <c r="E3" s="36" t="s">
        <v>18</v>
      </c>
      <c r="F3" s="8" t="s">
        <v>2</v>
      </c>
      <c r="G3" s="9" t="s">
        <v>4</v>
      </c>
    </row>
    <row r="4" spans="1:7" x14ac:dyDescent="0.25">
      <c r="A4" s="40"/>
      <c r="B4" s="40"/>
      <c r="C4" s="41"/>
      <c r="D4" s="40"/>
      <c r="E4" s="36"/>
      <c r="F4" s="11" t="s">
        <v>3</v>
      </c>
      <c r="G4" s="12" t="s">
        <v>3</v>
      </c>
    </row>
    <row r="5" spans="1:7" x14ac:dyDescent="0.25">
      <c r="A5" s="42" t="s">
        <v>6</v>
      </c>
      <c r="B5" s="5"/>
      <c r="C5" s="5"/>
      <c r="D5" s="4"/>
      <c r="E5" s="5"/>
      <c r="F5" s="13"/>
      <c r="G5" s="14"/>
    </row>
    <row r="6" spans="1:7" x14ac:dyDescent="0.25">
      <c r="A6" s="43"/>
      <c r="B6" s="5"/>
      <c r="C6" s="5"/>
      <c r="D6" s="5"/>
      <c r="E6" s="5"/>
      <c r="F6" s="13"/>
      <c r="G6" s="14"/>
    </row>
    <row r="7" spans="1:7" x14ac:dyDescent="0.25">
      <c r="A7" s="43"/>
      <c r="B7" s="5"/>
      <c r="C7" s="5"/>
      <c r="D7" s="5"/>
      <c r="E7" s="5"/>
      <c r="F7" s="13"/>
      <c r="G7" s="14"/>
    </row>
    <row r="8" spans="1:7" x14ac:dyDescent="0.25">
      <c r="A8" s="43"/>
      <c r="B8" s="4"/>
      <c r="C8" s="4"/>
      <c r="D8" s="4"/>
      <c r="E8" s="4"/>
      <c r="F8" s="6"/>
      <c r="G8" s="14"/>
    </row>
    <row r="9" spans="1:7" x14ac:dyDescent="0.25">
      <c r="A9" s="43"/>
      <c r="B9" s="4"/>
      <c r="C9" s="4"/>
      <c r="D9" s="4"/>
      <c r="E9" s="4"/>
      <c r="F9" s="6"/>
      <c r="G9" s="14"/>
    </row>
    <row r="10" spans="1:7" x14ac:dyDescent="0.25">
      <c r="A10" s="43"/>
      <c r="B10" s="4"/>
      <c r="C10" s="4"/>
      <c r="D10" s="4"/>
      <c r="E10" s="4"/>
      <c r="F10" s="6"/>
      <c r="G10" s="14"/>
    </row>
    <row r="11" spans="1:7" x14ac:dyDescent="0.25">
      <c r="A11" s="15" t="s">
        <v>33</v>
      </c>
      <c r="B11" s="16"/>
      <c r="C11" s="16"/>
      <c r="D11" s="16"/>
      <c r="E11" s="17" t="s">
        <v>11</v>
      </c>
      <c r="F11" s="18">
        <f>SUM(F5:F10)</f>
        <v>0</v>
      </c>
      <c r="G11" s="14"/>
    </row>
    <row r="12" spans="1:7" x14ac:dyDescent="0.25">
      <c r="A12" s="43" t="s">
        <v>5</v>
      </c>
      <c r="B12" s="4"/>
      <c r="C12" s="4"/>
      <c r="D12" s="4"/>
      <c r="E12" s="4"/>
      <c r="F12" s="6"/>
      <c r="G12" s="14"/>
    </row>
    <row r="13" spans="1:7" x14ac:dyDescent="0.25">
      <c r="A13" s="43"/>
      <c r="B13" s="4"/>
      <c r="C13" s="4"/>
      <c r="D13" s="4"/>
      <c r="E13" s="4"/>
      <c r="F13" s="6"/>
      <c r="G13" s="14"/>
    </row>
    <row r="14" spans="1:7" x14ac:dyDescent="0.25">
      <c r="A14" s="43"/>
      <c r="B14" s="4"/>
      <c r="C14" s="4"/>
      <c r="D14" s="4"/>
      <c r="E14" s="4"/>
      <c r="F14" s="6"/>
      <c r="G14" s="14"/>
    </row>
    <row r="15" spans="1:7" x14ac:dyDescent="0.25">
      <c r="A15" s="43"/>
      <c r="B15" s="4"/>
      <c r="C15" s="4"/>
      <c r="D15" s="4"/>
      <c r="E15" s="4"/>
      <c r="F15" s="6"/>
      <c r="G15" s="14"/>
    </row>
    <row r="16" spans="1:7" x14ac:dyDescent="0.25">
      <c r="A16" s="15" t="s">
        <v>28</v>
      </c>
      <c r="B16" s="16"/>
      <c r="C16" s="16"/>
      <c r="D16" s="16"/>
      <c r="E16" s="17" t="s">
        <v>11</v>
      </c>
      <c r="F16" s="18">
        <f>SUM(F12:F15)</f>
        <v>0</v>
      </c>
      <c r="G16" s="14"/>
    </row>
    <row r="17" spans="1:7" x14ac:dyDescent="0.25">
      <c r="A17" s="43" t="s">
        <v>7</v>
      </c>
      <c r="B17" s="4"/>
      <c r="C17" s="4"/>
      <c r="D17" s="4"/>
      <c r="E17" s="4"/>
      <c r="F17" s="6"/>
      <c r="G17" s="14"/>
    </row>
    <row r="18" spans="1:7" x14ac:dyDescent="0.25">
      <c r="A18" s="43"/>
      <c r="B18" s="4"/>
      <c r="C18" s="4"/>
      <c r="D18" s="4"/>
      <c r="E18" s="4"/>
      <c r="F18" s="6"/>
      <c r="G18" s="14"/>
    </row>
    <row r="19" spans="1:7" x14ac:dyDescent="0.25">
      <c r="A19" s="43"/>
      <c r="B19" s="4"/>
      <c r="C19" s="4"/>
      <c r="D19" s="4"/>
      <c r="E19" s="4"/>
      <c r="F19" s="6"/>
      <c r="G19" s="14"/>
    </row>
    <row r="20" spans="1:7" x14ac:dyDescent="0.25">
      <c r="A20" s="43"/>
      <c r="B20" s="4"/>
      <c r="C20" s="4"/>
      <c r="D20" s="23"/>
      <c r="E20" s="4"/>
      <c r="F20" s="6"/>
      <c r="G20" s="14"/>
    </row>
    <row r="21" spans="1:7" x14ac:dyDescent="0.25">
      <c r="A21" s="15" t="s">
        <v>34</v>
      </c>
      <c r="B21" s="16"/>
      <c r="C21" s="16"/>
      <c r="D21" s="16"/>
      <c r="E21" s="17" t="s">
        <v>11</v>
      </c>
      <c r="F21" s="18">
        <f>SUM(F17:F20)</f>
        <v>0</v>
      </c>
      <c r="G21" s="14"/>
    </row>
    <row r="22" spans="1:7" x14ac:dyDescent="0.25">
      <c r="A22" s="43" t="s">
        <v>8</v>
      </c>
      <c r="B22" s="4"/>
      <c r="C22" s="4"/>
      <c r="D22" s="4"/>
      <c r="E22" s="4"/>
      <c r="F22" s="6"/>
      <c r="G22" s="14"/>
    </row>
    <row r="23" spans="1:7" x14ac:dyDescent="0.25">
      <c r="A23" s="43"/>
      <c r="B23" s="4"/>
      <c r="C23" s="4"/>
      <c r="D23" s="23"/>
      <c r="E23" s="4"/>
      <c r="F23" s="6"/>
      <c r="G23" s="14"/>
    </row>
    <row r="24" spans="1:7" x14ac:dyDescent="0.25">
      <c r="A24" s="43"/>
      <c r="B24" s="4"/>
      <c r="C24" s="4"/>
      <c r="D24" s="4"/>
      <c r="E24" s="4"/>
      <c r="F24" s="6"/>
      <c r="G24" s="14"/>
    </row>
    <row r="25" spans="1:7" x14ac:dyDescent="0.25">
      <c r="A25" s="43"/>
      <c r="B25" s="4"/>
      <c r="C25" s="4"/>
      <c r="D25" s="4"/>
      <c r="E25" s="4"/>
      <c r="F25" s="6"/>
      <c r="G25" s="14"/>
    </row>
    <row r="26" spans="1:7" x14ac:dyDescent="0.25">
      <c r="A26" s="15" t="s">
        <v>35</v>
      </c>
      <c r="B26" s="16"/>
      <c r="C26" s="16"/>
      <c r="D26" s="16"/>
      <c r="E26" s="17" t="s">
        <v>11</v>
      </c>
      <c r="F26" s="18">
        <f>SUM(F22:F25)</f>
        <v>0</v>
      </c>
      <c r="G26" s="14"/>
    </row>
    <row r="27" spans="1:7" x14ac:dyDescent="0.25">
      <c r="A27" s="43" t="s">
        <v>9</v>
      </c>
      <c r="B27" s="4"/>
      <c r="C27" s="4"/>
      <c r="D27" s="23"/>
      <c r="E27" s="4"/>
      <c r="F27" s="6"/>
      <c r="G27" s="14"/>
    </row>
    <row r="28" spans="1:7" x14ac:dyDescent="0.25">
      <c r="A28" s="43"/>
      <c r="B28" s="4"/>
      <c r="C28" s="4"/>
      <c r="D28" s="4"/>
      <c r="E28" s="4"/>
      <c r="F28" s="6"/>
      <c r="G28" s="14"/>
    </row>
    <row r="29" spans="1:7" x14ac:dyDescent="0.25">
      <c r="A29" s="43"/>
      <c r="B29" s="4"/>
      <c r="C29" s="4"/>
      <c r="D29" s="4"/>
      <c r="E29" s="4"/>
      <c r="F29" s="6"/>
      <c r="G29" s="14"/>
    </row>
    <row r="30" spans="1:7" x14ac:dyDescent="0.25">
      <c r="A30" s="43"/>
      <c r="B30" s="4"/>
      <c r="C30" s="4"/>
      <c r="D30" s="4"/>
      <c r="E30" s="4"/>
      <c r="F30" s="6"/>
      <c r="G30" s="14"/>
    </row>
    <row r="31" spans="1:7" x14ac:dyDescent="0.25">
      <c r="A31" s="15" t="s">
        <v>36</v>
      </c>
      <c r="B31" s="19"/>
      <c r="C31" s="19"/>
      <c r="D31" s="19"/>
      <c r="E31" s="20" t="s">
        <v>11</v>
      </c>
      <c r="F31" s="21">
        <f>SUM(F27:F30)</f>
        <v>0</v>
      </c>
      <c r="G31" s="14"/>
    </row>
    <row r="32" spans="1:7" x14ac:dyDescent="0.25">
      <c r="A32" s="40" t="s">
        <v>10</v>
      </c>
      <c r="B32" s="40"/>
      <c r="C32" s="40"/>
      <c r="D32" s="40"/>
      <c r="E32" s="17"/>
      <c r="F32" s="17" t="s">
        <v>12</v>
      </c>
      <c r="G32" s="22">
        <f>F11+F16+F21+F26+F31</f>
        <v>0</v>
      </c>
    </row>
    <row r="33" spans="1:7" x14ac:dyDescent="0.25">
      <c r="A33" s="44"/>
      <c r="B33" s="44"/>
      <c r="C33" s="44"/>
      <c r="D33" s="44"/>
      <c r="E33" s="44"/>
      <c r="F33" s="44"/>
      <c r="G33" s="44"/>
    </row>
    <row r="34" spans="1:7" x14ac:dyDescent="0.25">
      <c r="A34" s="45"/>
      <c r="B34" s="45"/>
      <c r="C34" s="45"/>
      <c r="D34" s="45"/>
      <c r="E34" s="45"/>
      <c r="F34" s="45"/>
      <c r="G34" s="45"/>
    </row>
    <row r="35" spans="1:7" x14ac:dyDescent="0.25">
      <c r="A35" s="45"/>
      <c r="B35" s="45"/>
      <c r="C35" s="45"/>
      <c r="D35" s="45"/>
      <c r="E35" s="45"/>
      <c r="F35" s="45"/>
      <c r="G35" s="45"/>
    </row>
    <row r="36" spans="1:7" x14ac:dyDescent="0.25">
      <c r="A36" s="45"/>
      <c r="B36" s="45"/>
      <c r="C36" s="45"/>
      <c r="D36" s="45"/>
      <c r="E36" s="45"/>
      <c r="F36" s="45"/>
      <c r="G36" s="45"/>
    </row>
    <row r="37" spans="1:7" x14ac:dyDescent="0.25">
      <c r="A37" s="45"/>
      <c r="B37" s="45"/>
      <c r="C37" s="45"/>
      <c r="D37" s="45"/>
      <c r="E37" s="45"/>
      <c r="F37" s="45"/>
      <c r="G37" s="45"/>
    </row>
    <row r="38" spans="1:7" x14ac:dyDescent="0.25">
      <c r="A38" s="45"/>
      <c r="B38" s="45"/>
      <c r="C38" s="45"/>
      <c r="D38" s="45"/>
      <c r="E38" s="45"/>
      <c r="F38" s="45"/>
      <c r="G38" s="45"/>
    </row>
    <row r="39" spans="1:7" x14ac:dyDescent="0.25">
      <c r="A39" s="45"/>
      <c r="B39" s="45"/>
      <c r="C39" s="45"/>
      <c r="D39" s="45"/>
      <c r="E39" s="45"/>
      <c r="F39" s="45"/>
      <c r="G39" s="45"/>
    </row>
  </sheetData>
  <mergeCells count="13">
    <mergeCell ref="A33:G39"/>
    <mergeCell ref="A5:A10"/>
    <mergeCell ref="A12:A15"/>
    <mergeCell ref="A17:A20"/>
    <mergeCell ref="A22:A25"/>
    <mergeCell ref="A27:A30"/>
    <mergeCell ref="A32:D32"/>
    <mergeCell ref="E3:E4"/>
    <mergeCell ref="A2:B2"/>
    <mergeCell ref="A3:A4"/>
    <mergeCell ref="B3:B4"/>
    <mergeCell ref="C3:C4"/>
    <mergeCell ref="D3:D4"/>
  </mergeCells>
  <conditionalFormatting sqref="F5:F31">
    <cfRule type="containsText" dxfId="7" priority="1" operator="containsText" text="Terminé">
      <formula>NOT(ISERROR(SEARCH("Terminé",F5)))</formula>
    </cfRule>
    <cfRule type="containsText" dxfId="6" priority="2" operator="containsText" text="En cours">
      <formula>NOT(ISERROR(SEARCH("En cours",F5)))</formula>
    </cfRule>
  </conditionalFormatting>
  <conditionalFormatting sqref="G32">
    <cfRule type="containsText" dxfId="5" priority="3" operator="containsText" text="Terminé">
      <formula>NOT(ISERROR(SEARCH("Terminé",G32)))</formula>
    </cfRule>
    <cfRule type="containsText" dxfId="4" priority="4" operator="containsText" text="En cours">
      <formula>NOT(ISERROR(SEARCH("En cours",G32)))</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339D-2EF1-40B0-BB05-FAAA8AB05868}">
  <dimension ref="A1:G39"/>
  <sheetViews>
    <sheetView topLeftCell="A4" workbookViewId="0">
      <selection activeCell="A33" sqref="A33:G39"/>
    </sheetView>
  </sheetViews>
  <sheetFormatPr baseColWidth="10" defaultRowHeight="15" x14ac:dyDescent="0.25"/>
  <sheetData>
    <row r="1" spans="1:7" x14ac:dyDescent="0.25">
      <c r="A1" s="2" t="s">
        <v>15</v>
      </c>
      <c r="B1" s="2"/>
      <c r="C1" s="2"/>
      <c r="D1" s="7" t="s">
        <v>14</v>
      </c>
      <c r="E1" s="2"/>
      <c r="F1" s="2"/>
      <c r="G1" s="3" t="s">
        <v>13</v>
      </c>
    </row>
    <row r="2" spans="1:7" x14ac:dyDescent="0.25">
      <c r="A2" s="39" t="s">
        <v>19</v>
      </c>
      <c r="B2" s="39"/>
      <c r="C2" s="2"/>
      <c r="D2" s="2"/>
      <c r="E2" s="2"/>
      <c r="F2" s="2"/>
      <c r="G2" s="2"/>
    </row>
    <row r="3" spans="1:7" x14ac:dyDescent="0.25">
      <c r="A3" s="40" t="s">
        <v>0</v>
      </c>
      <c r="B3" s="40" t="s">
        <v>1</v>
      </c>
      <c r="C3" s="41" t="s">
        <v>16</v>
      </c>
      <c r="D3" s="40" t="s">
        <v>17</v>
      </c>
      <c r="E3" s="36" t="s">
        <v>18</v>
      </c>
      <c r="F3" s="8" t="s">
        <v>2</v>
      </c>
      <c r="G3" s="9" t="s">
        <v>4</v>
      </c>
    </row>
    <row r="4" spans="1:7" x14ac:dyDescent="0.25">
      <c r="A4" s="40"/>
      <c r="B4" s="40"/>
      <c r="C4" s="41"/>
      <c r="D4" s="40"/>
      <c r="E4" s="36"/>
      <c r="F4" s="11" t="s">
        <v>3</v>
      </c>
      <c r="G4" s="12" t="s">
        <v>3</v>
      </c>
    </row>
    <row r="5" spans="1:7" x14ac:dyDescent="0.25">
      <c r="A5" s="42" t="s">
        <v>6</v>
      </c>
      <c r="B5" s="5"/>
      <c r="C5" s="5"/>
      <c r="D5" s="4"/>
      <c r="E5" s="5"/>
      <c r="F5" s="13"/>
      <c r="G5" s="14"/>
    </row>
    <row r="6" spans="1:7" x14ac:dyDescent="0.25">
      <c r="A6" s="43"/>
      <c r="B6" s="5"/>
      <c r="C6" s="5"/>
      <c r="D6" s="5"/>
      <c r="E6" s="5"/>
      <c r="F6" s="13"/>
      <c r="G6" s="14"/>
    </row>
    <row r="7" spans="1:7" x14ac:dyDescent="0.25">
      <c r="A7" s="43"/>
      <c r="B7" s="5"/>
      <c r="C7" s="5"/>
      <c r="D7" s="5"/>
      <c r="E7" s="5"/>
      <c r="F7" s="13"/>
      <c r="G7" s="14"/>
    </row>
    <row r="8" spans="1:7" x14ac:dyDescent="0.25">
      <c r="A8" s="43"/>
      <c r="B8" s="4"/>
      <c r="C8" s="4"/>
      <c r="D8" s="4"/>
      <c r="E8" s="4"/>
      <c r="F8" s="6"/>
      <c r="G8" s="14"/>
    </row>
    <row r="9" spans="1:7" x14ac:dyDescent="0.25">
      <c r="A9" s="43"/>
      <c r="B9" s="4"/>
      <c r="C9" s="4"/>
      <c r="D9" s="4"/>
      <c r="E9" s="4"/>
      <c r="F9" s="6"/>
      <c r="G9" s="14"/>
    </row>
    <row r="10" spans="1:7" x14ac:dyDescent="0.25">
      <c r="A10" s="43"/>
      <c r="B10" s="4"/>
      <c r="C10" s="4"/>
      <c r="D10" s="4"/>
      <c r="E10" s="4"/>
      <c r="F10" s="6"/>
      <c r="G10" s="14"/>
    </row>
    <row r="11" spans="1:7" x14ac:dyDescent="0.25">
      <c r="A11" s="15" t="s">
        <v>39</v>
      </c>
      <c r="B11" s="16"/>
      <c r="C11" s="16"/>
      <c r="D11" s="16"/>
      <c r="E11" s="17" t="s">
        <v>11</v>
      </c>
      <c r="F11" s="18">
        <f>SUM(F5:F10)</f>
        <v>0</v>
      </c>
      <c r="G11" s="14"/>
    </row>
    <row r="12" spans="1:7" x14ac:dyDescent="0.25">
      <c r="A12" s="43" t="s">
        <v>5</v>
      </c>
      <c r="B12" s="4"/>
      <c r="C12" s="4"/>
      <c r="D12" s="4"/>
      <c r="E12" s="4"/>
      <c r="F12" s="6"/>
      <c r="G12" s="14"/>
    </row>
    <row r="13" spans="1:7" x14ac:dyDescent="0.25">
      <c r="A13" s="43"/>
      <c r="B13" s="4"/>
      <c r="C13" s="4"/>
      <c r="D13" s="4"/>
      <c r="E13" s="4"/>
      <c r="F13" s="6"/>
      <c r="G13" s="14"/>
    </row>
    <row r="14" spans="1:7" x14ac:dyDescent="0.25">
      <c r="A14" s="43"/>
      <c r="B14" s="4"/>
      <c r="C14" s="4"/>
      <c r="D14" s="4"/>
      <c r="E14" s="4"/>
      <c r="F14" s="6"/>
      <c r="G14" s="14"/>
    </row>
    <row r="15" spans="1:7" x14ac:dyDescent="0.25">
      <c r="A15" s="43"/>
      <c r="B15" s="4"/>
      <c r="C15" s="4"/>
      <c r="D15" s="4"/>
      <c r="E15" s="4"/>
      <c r="F15" s="6"/>
      <c r="G15" s="14"/>
    </row>
    <row r="16" spans="1:7" x14ac:dyDescent="0.25">
      <c r="A16" s="15" t="s">
        <v>37</v>
      </c>
      <c r="B16" s="16"/>
      <c r="C16" s="16"/>
      <c r="D16" s="16"/>
      <c r="E16" s="17" t="s">
        <v>11</v>
      </c>
      <c r="F16" s="18">
        <f>SUM(F12:F15)</f>
        <v>0</v>
      </c>
      <c r="G16" s="14"/>
    </row>
    <row r="17" spans="1:7" x14ac:dyDescent="0.25">
      <c r="A17" s="43" t="s">
        <v>7</v>
      </c>
      <c r="B17" s="4"/>
      <c r="C17" s="4"/>
      <c r="D17" s="4"/>
      <c r="E17" s="4"/>
      <c r="F17" s="6"/>
      <c r="G17" s="14"/>
    </row>
    <row r="18" spans="1:7" x14ac:dyDescent="0.25">
      <c r="A18" s="43"/>
      <c r="B18" s="4"/>
      <c r="C18" s="4"/>
      <c r="D18" s="4"/>
      <c r="E18" s="4"/>
      <c r="F18" s="6"/>
      <c r="G18" s="14"/>
    </row>
    <row r="19" spans="1:7" x14ac:dyDescent="0.25">
      <c r="A19" s="43"/>
      <c r="B19" s="4"/>
      <c r="C19" s="4"/>
      <c r="D19" s="4"/>
      <c r="E19" s="4"/>
      <c r="F19" s="6"/>
      <c r="G19" s="14"/>
    </row>
    <row r="20" spans="1:7" x14ac:dyDescent="0.25">
      <c r="A20" s="43"/>
      <c r="B20" s="4"/>
      <c r="C20" s="4"/>
      <c r="D20" s="23"/>
      <c r="E20" s="4"/>
      <c r="F20" s="6"/>
      <c r="G20" s="14"/>
    </row>
    <row r="21" spans="1:7" x14ac:dyDescent="0.25">
      <c r="A21" s="15" t="s">
        <v>38</v>
      </c>
      <c r="B21" s="16"/>
      <c r="C21" s="16"/>
      <c r="D21" s="16"/>
      <c r="E21" s="17" t="s">
        <v>11</v>
      </c>
      <c r="F21" s="18">
        <f>SUM(F17:F20)</f>
        <v>0</v>
      </c>
      <c r="G21" s="14"/>
    </row>
    <row r="22" spans="1:7" x14ac:dyDescent="0.25">
      <c r="A22" s="43" t="s">
        <v>8</v>
      </c>
      <c r="B22" s="4"/>
      <c r="C22" s="4"/>
      <c r="D22" s="4"/>
      <c r="E22" s="4"/>
      <c r="F22" s="6"/>
      <c r="G22" s="14"/>
    </row>
    <row r="23" spans="1:7" x14ac:dyDescent="0.25">
      <c r="A23" s="43"/>
      <c r="B23" s="4"/>
      <c r="C23" s="4"/>
      <c r="D23" s="23"/>
      <c r="E23" s="4"/>
      <c r="F23" s="6"/>
      <c r="G23" s="14"/>
    </row>
    <row r="24" spans="1:7" x14ac:dyDescent="0.25">
      <c r="A24" s="43"/>
      <c r="B24" s="4"/>
      <c r="C24" s="4"/>
      <c r="D24" s="4"/>
      <c r="E24" s="4"/>
      <c r="F24" s="6"/>
      <c r="G24" s="14"/>
    </row>
    <row r="25" spans="1:7" x14ac:dyDescent="0.25">
      <c r="A25" s="43"/>
      <c r="B25" s="4"/>
      <c r="C25" s="4"/>
      <c r="D25" s="4"/>
      <c r="E25" s="4"/>
      <c r="F25" s="6"/>
      <c r="G25" s="14"/>
    </row>
    <row r="26" spans="1:7" x14ac:dyDescent="0.25">
      <c r="A26" s="15" t="s">
        <v>35</v>
      </c>
      <c r="B26" s="16"/>
      <c r="C26" s="16"/>
      <c r="D26" s="16"/>
      <c r="E26" s="17" t="s">
        <v>11</v>
      </c>
      <c r="F26" s="18">
        <f>SUM(F22:F25)</f>
        <v>0</v>
      </c>
      <c r="G26" s="14"/>
    </row>
    <row r="27" spans="1:7" x14ac:dyDescent="0.25">
      <c r="A27" s="43" t="s">
        <v>9</v>
      </c>
      <c r="B27" s="4"/>
      <c r="C27" s="4"/>
      <c r="D27" s="23"/>
      <c r="E27" s="4"/>
      <c r="F27" s="6"/>
      <c r="G27" s="14"/>
    </row>
    <row r="28" spans="1:7" x14ac:dyDescent="0.25">
      <c r="A28" s="43"/>
      <c r="B28" s="4"/>
      <c r="C28" s="4"/>
      <c r="D28" s="4"/>
      <c r="E28" s="4"/>
      <c r="F28" s="6"/>
      <c r="G28" s="14"/>
    </row>
    <row r="29" spans="1:7" x14ac:dyDescent="0.25">
      <c r="A29" s="43"/>
      <c r="B29" s="4"/>
      <c r="C29" s="4"/>
      <c r="D29" s="4"/>
      <c r="E29" s="4"/>
      <c r="F29" s="6"/>
      <c r="G29" s="14"/>
    </row>
    <row r="30" spans="1:7" x14ac:dyDescent="0.25">
      <c r="A30" s="43"/>
      <c r="B30" s="4"/>
      <c r="C30" s="4"/>
      <c r="D30" s="4"/>
      <c r="E30" s="4"/>
      <c r="F30" s="6"/>
      <c r="G30" s="14"/>
    </row>
    <row r="31" spans="1:7" x14ac:dyDescent="0.25">
      <c r="A31" s="15" t="s">
        <v>36</v>
      </c>
      <c r="B31" s="19"/>
      <c r="C31" s="19"/>
      <c r="D31" s="19"/>
      <c r="E31" s="20" t="s">
        <v>11</v>
      </c>
      <c r="F31" s="21">
        <f>SUM(F27:F30)</f>
        <v>0</v>
      </c>
      <c r="G31" s="14"/>
    </row>
    <row r="32" spans="1:7" x14ac:dyDescent="0.25">
      <c r="A32" s="40" t="s">
        <v>10</v>
      </c>
      <c r="B32" s="40"/>
      <c r="C32" s="40"/>
      <c r="D32" s="40"/>
      <c r="E32" s="17"/>
      <c r="F32" s="17" t="s">
        <v>12</v>
      </c>
      <c r="G32" s="22">
        <f>F11+F16+F21+F26+F31</f>
        <v>0</v>
      </c>
    </row>
    <row r="33" spans="1:7" x14ac:dyDescent="0.25">
      <c r="A33" s="44"/>
      <c r="B33" s="44"/>
      <c r="C33" s="44"/>
      <c r="D33" s="44"/>
      <c r="E33" s="44"/>
      <c r="F33" s="44"/>
      <c r="G33" s="44"/>
    </row>
    <row r="34" spans="1:7" x14ac:dyDescent="0.25">
      <c r="A34" s="45"/>
      <c r="B34" s="45"/>
      <c r="C34" s="45"/>
      <c r="D34" s="45"/>
      <c r="E34" s="45"/>
      <c r="F34" s="45"/>
      <c r="G34" s="45"/>
    </row>
    <row r="35" spans="1:7" x14ac:dyDescent="0.25">
      <c r="A35" s="45"/>
      <c r="B35" s="45"/>
      <c r="C35" s="45"/>
      <c r="D35" s="45"/>
      <c r="E35" s="45"/>
      <c r="F35" s="45"/>
      <c r="G35" s="45"/>
    </row>
    <row r="36" spans="1:7" x14ac:dyDescent="0.25">
      <c r="A36" s="45"/>
      <c r="B36" s="45"/>
      <c r="C36" s="45"/>
      <c r="D36" s="45"/>
      <c r="E36" s="45"/>
      <c r="F36" s="45"/>
      <c r="G36" s="45"/>
    </row>
    <row r="37" spans="1:7" x14ac:dyDescent="0.25">
      <c r="A37" s="45"/>
      <c r="B37" s="45"/>
      <c r="C37" s="45"/>
      <c r="D37" s="45"/>
      <c r="E37" s="45"/>
      <c r="F37" s="45"/>
      <c r="G37" s="45"/>
    </row>
    <row r="38" spans="1:7" x14ac:dyDescent="0.25">
      <c r="A38" s="45"/>
      <c r="B38" s="45"/>
      <c r="C38" s="45"/>
      <c r="D38" s="45"/>
      <c r="E38" s="45"/>
      <c r="F38" s="45"/>
      <c r="G38" s="45"/>
    </row>
    <row r="39" spans="1:7" x14ac:dyDescent="0.25">
      <c r="A39" s="45"/>
      <c r="B39" s="45"/>
      <c r="C39" s="45"/>
      <c r="D39" s="45"/>
      <c r="E39" s="45"/>
      <c r="F39" s="45"/>
      <c r="G39" s="45"/>
    </row>
  </sheetData>
  <mergeCells count="13">
    <mergeCell ref="A33:G39"/>
    <mergeCell ref="A5:A10"/>
    <mergeCell ref="A12:A15"/>
    <mergeCell ref="A17:A20"/>
    <mergeCell ref="A22:A25"/>
    <mergeCell ref="A27:A30"/>
    <mergeCell ref="A32:D32"/>
    <mergeCell ref="E3:E4"/>
    <mergeCell ref="A2:B2"/>
    <mergeCell ref="A3:A4"/>
    <mergeCell ref="B3:B4"/>
    <mergeCell ref="C3:C4"/>
    <mergeCell ref="D3:D4"/>
  </mergeCells>
  <conditionalFormatting sqref="F5:F31">
    <cfRule type="containsText" dxfId="3" priority="1" operator="containsText" text="Terminé">
      <formula>NOT(ISERROR(SEARCH("Terminé",F5)))</formula>
    </cfRule>
    <cfRule type="containsText" dxfId="2" priority="2" operator="containsText" text="En cours">
      <formula>NOT(ISERROR(SEARCH("En cours",F5)))</formula>
    </cfRule>
  </conditionalFormatting>
  <conditionalFormatting sqref="G32">
    <cfRule type="containsText" dxfId="1" priority="3" operator="containsText" text="Terminé">
      <formula>NOT(ISERROR(SEARCH("Terminé",G32)))</formula>
    </cfRule>
    <cfRule type="containsText" dxfId="0" priority="4" operator="containsText" text="En cours">
      <formula>NOT(ISERROR(SEARCH("En cours",G32)))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C28"/>
  <sheetViews>
    <sheetView tabSelected="1" topLeftCell="B1" zoomScale="175" zoomScaleNormal="175" workbookViewId="0">
      <selection activeCell="D5" sqref="D5"/>
    </sheetView>
  </sheetViews>
  <sheetFormatPr baseColWidth="10" defaultRowHeight="15" x14ac:dyDescent="0.25"/>
  <sheetData>
    <row r="4" spans="2:3" x14ac:dyDescent="0.25">
      <c r="B4" t="s">
        <v>67</v>
      </c>
      <c r="C4">
        <v>7.5</v>
      </c>
    </row>
    <row r="5" spans="2:3" x14ac:dyDescent="0.25">
      <c r="B5" t="s">
        <v>102</v>
      </c>
      <c r="C5">
        <v>16</v>
      </c>
    </row>
    <row r="6" spans="2:3" x14ac:dyDescent="0.25">
      <c r="B6" t="s">
        <v>40</v>
      </c>
      <c r="C6">
        <v>5.5</v>
      </c>
    </row>
    <row r="7" spans="2:3" x14ac:dyDescent="0.25">
      <c r="B7" t="s">
        <v>30</v>
      </c>
      <c r="C7">
        <v>15</v>
      </c>
    </row>
    <row r="8" spans="2:3" x14ac:dyDescent="0.25">
      <c r="B8" t="s">
        <v>51</v>
      </c>
      <c r="C8">
        <v>14.5</v>
      </c>
    </row>
    <row r="9" spans="2:3" x14ac:dyDescent="0.25">
      <c r="B9" t="s">
        <v>32</v>
      </c>
      <c r="C9">
        <v>41</v>
      </c>
    </row>
    <row r="10" spans="2:3" x14ac:dyDescent="0.25">
      <c r="B10" t="s">
        <v>56</v>
      </c>
      <c r="C10">
        <v>13.5</v>
      </c>
    </row>
    <row r="11" spans="2:3" x14ac:dyDescent="0.25">
      <c r="B11" t="s">
        <v>153</v>
      </c>
      <c r="C11">
        <v>5</v>
      </c>
    </row>
    <row r="12" spans="2:3" x14ac:dyDescent="0.25">
      <c r="B12" t="s">
        <v>41</v>
      </c>
      <c r="C12">
        <v>118</v>
      </c>
    </row>
    <row r="20" spans="2:3" x14ac:dyDescent="0.25">
      <c r="B20" t="s">
        <v>67</v>
      </c>
      <c r="C20">
        <v>5</v>
      </c>
    </row>
    <row r="21" spans="2:3" x14ac:dyDescent="0.25">
      <c r="B21" t="s">
        <v>102</v>
      </c>
      <c r="C21">
        <v>20</v>
      </c>
    </row>
    <row r="22" spans="2:3" x14ac:dyDescent="0.25">
      <c r="B22" t="s">
        <v>40</v>
      </c>
      <c r="C22">
        <v>16</v>
      </c>
    </row>
    <row r="23" spans="2:3" x14ac:dyDescent="0.25">
      <c r="B23" t="s">
        <v>30</v>
      </c>
      <c r="C23">
        <v>16</v>
      </c>
    </row>
    <row r="24" spans="2:3" x14ac:dyDescent="0.25">
      <c r="B24" t="s">
        <v>51</v>
      </c>
      <c r="C24">
        <v>12</v>
      </c>
    </row>
    <row r="25" spans="2:3" x14ac:dyDescent="0.25">
      <c r="B25" t="s">
        <v>32</v>
      </c>
      <c r="C25">
        <v>30</v>
      </c>
    </row>
    <row r="26" spans="2:3" x14ac:dyDescent="0.25">
      <c r="B26" t="s">
        <v>56</v>
      </c>
      <c r="C26">
        <v>11</v>
      </c>
    </row>
    <row r="27" spans="2:3" x14ac:dyDescent="0.25">
      <c r="B27" t="s">
        <v>153</v>
      </c>
      <c r="C27">
        <v>8</v>
      </c>
    </row>
    <row r="28" spans="2:3" x14ac:dyDescent="0.25">
      <c r="B28" t="s">
        <v>41</v>
      </c>
      <c r="C28">
        <v>118</v>
      </c>
    </row>
  </sheetData>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Feuil1</vt:lpstr>
      <vt:lpstr>s1</vt:lpstr>
      <vt:lpstr>s2</vt:lpstr>
      <vt:lpstr>s3</vt:lpstr>
      <vt:lpstr>s4</vt:lpstr>
      <vt:lpstr>s5</vt:lpstr>
      <vt:lpstr>s6</vt:lpstr>
      <vt:lpstr>s7</vt:lpstr>
      <vt:lpstr>s8</vt:lpstr>
      <vt:lpstr>total</vt:lpstr>
    </vt:vector>
  </TitlesOfParts>
  <Company>Etat de Fribourg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Gauch Laurent</dc:creator>
  <cp:lastModifiedBy>Pittet Loïc</cp:lastModifiedBy>
  <cp:lastPrinted>2025-05-30T15:28:31Z</cp:lastPrinted>
  <dcterms:created xsi:type="dcterms:W3CDTF">2020-08-29T17:40:34Z</dcterms:created>
  <dcterms:modified xsi:type="dcterms:W3CDTF">2025-06-05T14:26:17Z</dcterms:modified>
</cp:coreProperties>
</file>