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autoCompressPictures="0"/>
  <bookViews>
    <workbookView xWindow="9132" yWindow="13788" windowWidth="23256" windowHeight="11040"/>
  </bookViews>
  <sheets>
    <sheet name="Feuil1" sheetId="1" r:id="rId1"/>
  </sheets>
  <definedNames>
    <definedName name="_xlnm.Print_Area" localSheetId="0">Feuil1!$A$1:$N$23</definedName>
  </definedNames>
  <calcPr calcId="14562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K21" i="1" l="1"/>
  <c r="L21" i="1"/>
  <c r="S21" i="1"/>
  <c r="K20" i="1"/>
  <c r="L20" i="1"/>
  <c r="S20" i="1"/>
  <c r="K19" i="1"/>
  <c r="L19" i="1"/>
  <c r="S19" i="1"/>
  <c r="K18" i="1"/>
  <c r="L18" i="1"/>
  <c r="S18" i="1"/>
  <c r="K17" i="1"/>
  <c r="L17" i="1"/>
  <c r="S17" i="1"/>
  <c r="K16" i="1"/>
  <c r="L16" i="1"/>
  <c r="S16" i="1"/>
  <c r="K15" i="1"/>
  <c r="L15" i="1"/>
  <c r="S15" i="1"/>
  <c r="K14" i="1"/>
  <c r="L14" i="1"/>
  <c r="S14" i="1"/>
  <c r="K13" i="1"/>
  <c r="L13" i="1"/>
  <c r="S13" i="1"/>
  <c r="K12" i="1"/>
  <c r="L12" i="1"/>
  <c r="S12" i="1"/>
  <c r="K11" i="1"/>
  <c r="L11" i="1"/>
  <c r="S11" i="1"/>
  <c r="K10" i="1"/>
  <c r="L10" i="1"/>
  <c r="S10" i="1"/>
  <c r="K9" i="1"/>
  <c r="L9" i="1"/>
  <c r="S9" i="1"/>
  <c r="K8" i="1"/>
  <c r="L8" i="1"/>
  <c r="S8" i="1"/>
  <c r="K7" i="1"/>
  <c r="L7" i="1"/>
  <c r="S7" i="1"/>
  <c r="K6" i="1"/>
  <c r="L6" i="1"/>
  <c r="S6" i="1"/>
  <c r="K5" i="1"/>
  <c r="L5" i="1"/>
  <c r="S5" i="1"/>
  <c r="K4" i="1"/>
  <c r="L4" i="1"/>
  <c r="S4" i="1"/>
  <c r="R21" i="1"/>
  <c r="R20" i="1"/>
  <c r="R19" i="1"/>
  <c r="R18" i="1"/>
  <c r="R17" i="1"/>
  <c r="R16" i="1"/>
  <c r="R15" i="1"/>
  <c r="R14" i="1"/>
  <c r="R13" i="1"/>
  <c r="R12" i="1"/>
  <c r="R11" i="1"/>
  <c r="R10" i="1"/>
  <c r="R9" i="1"/>
  <c r="R8" i="1"/>
  <c r="R7" i="1"/>
  <c r="R6" i="1"/>
  <c r="R5" i="1"/>
  <c r="R4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Q4" i="1"/>
  <c r="P21" i="1"/>
  <c r="P20" i="1"/>
  <c r="P19" i="1"/>
  <c r="P18" i="1"/>
  <c r="P17" i="1"/>
  <c r="P16" i="1"/>
  <c r="P15" i="1"/>
  <c r="P14" i="1"/>
  <c r="P13" i="1"/>
  <c r="P12" i="1"/>
  <c r="P11" i="1"/>
  <c r="P10" i="1"/>
  <c r="P9" i="1"/>
  <c r="P8" i="1"/>
  <c r="P7" i="1"/>
  <c r="P6" i="1"/>
  <c r="P5" i="1"/>
  <c r="P4" i="1"/>
  <c r="N7" i="1"/>
  <c r="N8" i="1"/>
  <c r="N9" i="1"/>
  <c r="N10" i="1"/>
  <c r="N11" i="1"/>
  <c r="N12" i="1"/>
  <c r="N13" i="1"/>
  <c r="N14" i="1"/>
  <c r="K3" i="1"/>
  <c r="L3" i="1"/>
  <c r="S3" i="1"/>
  <c r="R3" i="1"/>
  <c r="Q3" i="1"/>
  <c r="P3" i="1"/>
  <c r="N4" i="1"/>
  <c r="N5" i="1"/>
  <c r="N6" i="1"/>
  <c r="N15" i="1"/>
  <c r="N16" i="1"/>
  <c r="N17" i="1"/>
  <c r="N18" i="1"/>
  <c r="N19" i="1"/>
  <c r="N20" i="1"/>
  <c r="N21" i="1"/>
  <c r="N3" i="1"/>
  <c r="S2" i="1"/>
  <c r="R2" i="1"/>
  <c r="Q2" i="1"/>
  <c r="P2" i="1"/>
  <c r="N22" i="1"/>
  <c r="N23" i="1"/>
</calcChain>
</file>

<file path=xl/comments1.xml><?xml version="1.0" encoding="utf-8"?>
<comments xmlns="http://schemas.openxmlformats.org/spreadsheetml/2006/main">
  <authors>
    <author>Michel Pittet</author>
    <author>Gauthier Abel</author>
    <author>Michel Berset</author>
  </authors>
  <commentList>
    <comment ref="A1" authorId="0">
      <text>
        <r>
          <rPr>
            <b/>
            <sz val="9"/>
            <color indexed="81"/>
            <rFont val="Calibri"/>
            <family val="2"/>
          </rPr>
          <t>Qté/1 carte</t>
        </r>
        <r>
          <rPr>
            <sz val="9"/>
            <color indexed="81"/>
            <rFont val="Calibri"/>
            <family val="2"/>
          </rPr>
          <t xml:space="preserve">
Quantité de composants nécessaires pour 1 carte</t>
        </r>
      </text>
    </comment>
    <comment ref="B1" authorId="0">
      <text>
        <r>
          <rPr>
            <b/>
            <sz val="9"/>
            <color indexed="81"/>
            <rFont val="Calibri"/>
            <family val="2"/>
          </rPr>
          <t>Référence schéma</t>
        </r>
        <r>
          <rPr>
            <sz val="9"/>
            <color indexed="81"/>
            <rFont val="Calibri"/>
            <family val="2"/>
          </rPr>
          <t xml:space="preserve">
Désignateur du composant sur le schéma, p. ex. R1, R2 ou C1, C18</t>
        </r>
      </text>
    </comment>
    <comment ref="C1" authorId="0">
      <text>
        <r>
          <rPr>
            <b/>
            <sz val="9"/>
            <color indexed="81"/>
            <rFont val="Calibri"/>
            <family val="2"/>
          </rPr>
          <t>Fournisseur</t>
        </r>
        <r>
          <rPr>
            <sz val="9"/>
            <color indexed="81"/>
            <rFont val="Calibri"/>
            <family val="2"/>
          </rPr>
          <t xml:space="preserve">
Nom du fournisseur, avec lien internet sur la page d'accueil de son site</t>
        </r>
      </text>
    </comment>
    <comment ref="D1" authorId="0">
      <text>
        <r>
          <rPr>
            <b/>
            <sz val="9"/>
            <color indexed="81"/>
            <rFont val="Calibri"/>
            <family val="2"/>
          </rPr>
          <t>N°art.fourn.</t>
        </r>
        <r>
          <rPr>
            <sz val="9"/>
            <color indexed="81"/>
            <rFont val="Calibri"/>
            <family val="2"/>
          </rPr>
          <t xml:space="preserve">
Numéro de commande du composant, avec lien internet sur la page de l'article du fournisseur.</t>
        </r>
      </text>
    </comment>
    <comment ref="F1" authorId="0">
      <text>
        <r>
          <rPr>
            <b/>
            <sz val="9"/>
            <color indexed="81"/>
            <rFont val="Calibri"/>
            <family val="2"/>
          </rPr>
          <t>Fabricant</t>
        </r>
        <r>
          <rPr>
            <sz val="9"/>
            <color indexed="81"/>
            <rFont val="Calibri"/>
            <family val="2"/>
          </rPr>
          <t xml:space="preserve">
Nom du fabricant du composant</t>
        </r>
      </text>
    </comment>
    <comment ref="G1" authorId="0">
      <text>
        <r>
          <rPr>
            <b/>
            <sz val="9"/>
            <color indexed="81"/>
            <rFont val="Calibri"/>
            <family val="2"/>
          </rPr>
          <t>N° art. fabr.</t>
        </r>
        <r>
          <rPr>
            <sz val="9"/>
            <color indexed="81"/>
            <rFont val="Calibri"/>
            <family val="2"/>
          </rPr>
          <t xml:space="preserve">
Numéro d'article donné par le fabricant du composant</t>
        </r>
      </text>
    </comment>
    <comment ref="H1" authorId="0">
      <text>
        <r>
          <rPr>
            <b/>
            <sz val="9"/>
            <color indexed="81"/>
            <rFont val="Calibri"/>
            <family val="2"/>
          </rPr>
          <t>Datasheet</t>
        </r>
        <r>
          <rPr>
            <sz val="9"/>
            <color indexed="81"/>
            <rFont val="Calibri"/>
            <family val="2"/>
          </rPr>
          <t xml:space="preserve">
Lien sur le datasheet téléchargé et rangé dans le dossier "Datasheets"</t>
        </r>
      </text>
    </comment>
    <comment ref="I1" authorId="1">
      <text>
        <r>
          <rPr>
            <b/>
            <sz val="9"/>
            <color indexed="81"/>
            <rFont val="Calibri"/>
            <family val="2"/>
            <scheme val="minor"/>
          </rPr>
          <t>Stock</t>
        </r>
        <r>
          <rPr>
            <sz val="9"/>
            <color indexed="81"/>
            <rFont val="Calibri"/>
            <family val="2"/>
            <scheme val="minor"/>
          </rPr>
          <t xml:space="preserve">
Combien de composants
déjà en stock?</t>
        </r>
      </text>
    </comment>
    <comment ref="J1" authorId="1">
      <text>
        <r>
          <rPr>
            <b/>
            <sz val="9"/>
            <color indexed="81"/>
            <rFont val="Calibri"/>
            <family val="2"/>
            <scheme val="minor"/>
          </rPr>
          <t>Réserve</t>
        </r>
        <r>
          <rPr>
            <sz val="9"/>
            <color indexed="81"/>
            <rFont val="Calibri"/>
            <family val="2"/>
            <scheme val="minor"/>
          </rPr>
          <t xml:space="preserve">
Nombre de pièces supplémentaires à
commander par sécurité</t>
        </r>
      </text>
    </comment>
    <comment ref="P1" authorId="2">
      <text>
        <r>
          <rPr>
            <sz val="9"/>
            <color indexed="81"/>
            <rFont val="Tahoma"/>
            <family val="2"/>
          </rPr>
          <t>Les lignes ci-dessous permettent de faire rapidement un copier-coller dans GestCom</t>
        </r>
      </text>
    </comment>
    <comment ref="K2" authorId="0">
      <text>
        <r>
          <rPr>
            <b/>
            <sz val="9"/>
            <color indexed="81"/>
            <rFont val="Calibri"/>
            <family val="2"/>
          </rPr>
          <t>Qté</t>
        </r>
        <r>
          <rPr>
            <sz val="9"/>
            <color indexed="81"/>
            <rFont val="Calibri"/>
            <family val="2"/>
          </rPr>
          <t xml:space="preserve">
</t>
        </r>
        <r>
          <rPr>
            <b/>
            <sz val="9"/>
            <color indexed="81"/>
            <rFont val="Calibri"/>
            <family val="2"/>
          </rPr>
          <t>Calculé automatiquement</t>
        </r>
        <r>
          <rPr>
            <sz val="9"/>
            <color indexed="81"/>
            <rFont val="Calibri"/>
            <family val="2"/>
          </rPr>
          <t>.
Quantité de composants, de packs nécessaires, selon le nombre de cartes voulues</t>
        </r>
      </text>
    </comment>
    <comment ref="L2" authorId="0">
      <text>
        <r>
          <rPr>
            <b/>
            <sz val="9"/>
            <color indexed="81"/>
            <rFont val="Calibri"/>
            <family val="2"/>
          </rPr>
          <t>CMD
Calculé automatiquement</t>
        </r>
        <r>
          <rPr>
            <sz val="9"/>
            <color indexed="81"/>
            <rFont val="Calibri"/>
            <family val="2"/>
          </rPr>
          <t xml:space="preserve">
Quantité de composants à commander réellement (réserve, erreurs)</t>
        </r>
      </text>
    </comment>
    <comment ref="M2" authorId="0">
      <text>
        <r>
          <rPr>
            <b/>
            <sz val="9"/>
            <color indexed="81"/>
            <rFont val="Calibri"/>
            <family val="2"/>
          </rPr>
          <t>Prix/un</t>
        </r>
        <r>
          <rPr>
            <sz val="9"/>
            <color indexed="81"/>
            <rFont val="Calibri"/>
            <family val="2"/>
          </rPr>
          <t xml:space="preserve">
Prix unitaire selon la quantité commandée</t>
        </r>
      </text>
    </comment>
    <comment ref="N2" authorId="0">
      <text>
        <r>
          <rPr>
            <b/>
            <sz val="9"/>
            <color indexed="81"/>
            <rFont val="Calibri"/>
            <family val="2"/>
          </rPr>
          <t>Total</t>
        </r>
        <r>
          <rPr>
            <sz val="9"/>
            <color indexed="81"/>
            <rFont val="Calibri"/>
            <family val="2"/>
          </rPr>
          <t xml:space="preserve">
</t>
        </r>
        <r>
          <rPr>
            <b/>
            <sz val="9"/>
            <color indexed="81"/>
            <rFont val="Calibri"/>
            <family val="2"/>
          </rPr>
          <t>Calculé automatiquement</t>
        </r>
        <r>
          <rPr>
            <sz val="9"/>
            <color indexed="81"/>
            <rFont val="Calibri"/>
            <family val="2"/>
          </rPr>
          <t xml:space="preserve">
Coût de cette ligne de commande</t>
        </r>
      </text>
    </comment>
    <comment ref="N22" authorId="2">
      <text>
        <r>
          <rPr>
            <sz val="9"/>
            <color indexed="81"/>
            <rFont val="Tahoma"/>
            <family val="2"/>
          </rPr>
          <t>Ce total ne reflète pas le coût réel du matériel, mais le coût des achats supplémentaires à faire en plus du stock</t>
        </r>
      </text>
    </comment>
    <comment ref="N23" authorId="2">
      <text>
        <r>
          <rPr>
            <sz val="9"/>
            <color indexed="81"/>
            <rFont val="Tahoma"/>
            <family val="2"/>
          </rPr>
          <t>Ce total ne reflète pas le coût réel du matériel, mais le coût des achats supplémentaires à faire en plus du stock</t>
        </r>
      </text>
    </comment>
  </commentList>
</comments>
</file>

<file path=xl/sharedStrings.xml><?xml version="1.0" encoding="utf-8"?>
<sst xmlns="http://schemas.openxmlformats.org/spreadsheetml/2006/main" count="31" uniqueCount="31">
  <si>
    <t>Fournisseur</t>
  </si>
  <si>
    <t>Fabricant</t>
  </si>
  <si>
    <t>Datasheet</t>
  </si>
  <si>
    <t>Qté</t>
  </si>
  <si>
    <t>Total</t>
  </si>
  <si>
    <t>Stock</t>
  </si>
  <si>
    <t>Calculé automatiquement</t>
  </si>
  <si>
    <t>Légende :</t>
  </si>
  <si>
    <t>{</t>
  </si>
  <si>
    <t>Distrelec</t>
  </si>
  <si>
    <t>Preci-Dip</t>
  </si>
  <si>
    <t>Barrette à broches 1 x36P</t>
  </si>
  <si>
    <t>330.36.1 L 02 902</t>
  </si>
  <si>
    <t>890-892serie_eng_tds.pdf</t>
  </si>
  <si>
    <t>N°art.fourn.</t>
  </si>
  <si>
    <t>Qté/1 carte</t>
  </si>
  <si>
    <t>N°art.fabricant</t>
  </si>
  <si>
    <t>Rés.</t>
  </si>
  <si>
    <t>CMD</t>
  </si>
  <si>
    <t>Prix/un</t>
  </si>
  <si>
    <t>Nombre de cartes :</t>
  </si>
  <si>
    <t>Coût par carte</t>
  </si>
  <si>
    <t>Coût total →</t>
  </si>
  <si>
    <t>Renseignements, numéros de commande</t>
  </si>
  <si>
    <t>Valeurs à fournir pour le calcul</t>
  </si>
  <si>
    <t>143-83-912</t>
  </si>
  <si>
    <t>Référence
schéma</t>
  </si>
  <si>
    <t>X1, X2</t>
  </si>
  <si>
    <t>Désignation, type, valeur, tolérance, puissance/tension, boîtier</t>
  </si>
  <si>
    <t>Préparation pour effectuer un copier-coller dans GestCom :</t>
  </si>
  <si>
    <r>
      <t xml:space="preserve">Cette feuille est protégée contre les modifications inopinées. En cas de besoin, la protection peut être ôtée sans mot de passe (Ruban </t>
    </r>
    <r>
      <rPr>
        <i/>
        <sz val="8"/>
        <color theme="1"/>
        <rFont val="Calibri"/>
        <family val="2"/>
        <scheme val="minor"/>
      </rPr>
      <t>Révision</t>
    </r>
    <r>
      <rPr>
        <sz val="8"/>
        <color theme="1"/>
        <rFont val="Calibri"/>
        <family val="2"/>
        <scheme val="minor"/>
      </rPr>
      <t xml:space="preserve"> &gt; </t>
    </r>
    <r>
      <rPr>
        <i/>
        <sz val="8"/>
        <color theme="1"/>
        <rFont val="Calibri"/>
        <family val="2"/>
        <scheme val="minor"/>
      </rPr>
      <t>Ôter la protection de la feuille</t>
    </r>
    <r>
      <rPr>
        <sz val="8"/>
        <color theme="1"/>
        <rFont val="Calibri"/>
        <family val="2"/>
        <scheme val="minor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</si>
</sst>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9"/>
      <color indexed="81"/>
      <name val="Calibri"/>
      <family val="2"/>
    </font>
    <font>
      <b/>
      <sz val="9"/>
      <color indexed="81"/>
      <name val="Calibri"/>
      <family val="2"/>
    </font>
    <font>
      <u/>
      <sz val="11"/>
      <color theme="11"/>
      <name val="Calibri"/>
      <family val="2"/>
      <scheme val="minor"/>
    </font>
    <font>
      <sz val="9"/>
      <color indexed="81"/>
      <name val="Calibri"/>
      <family val="2"/>
      <scheme val="minor"/>
    </font>
    <font>
      <b/>
      <sz val="11"/>
      <color theme="1"/>
      <name val="Calibri"/>
      <family val="2"/>
    </font>
    <font>
      <sz val="8"/>
      <color theme="1"/>
      <name val="Calibri"/>
      <family val="2"/>
      <scheme val="minor"/>
    </font>
    <font>
      <sz val="40"/>
      <color theme="1"/>
      <name val="Adobe Garamond Pro Bold"/>
      <family val="1"/>
    </font>
    <font>
      <sz val="11"/>
      <name val="Calibri"/>
      <family val="2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Calibri"/>
      <family val="2"/>
      <scheme val="minor"/>
    </font>
    <font>
      <i/>
      <sz val="8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C3E8FE"/>
        <bgColor indexed="64"/>
      </patternFill>
    </fill>
    <fill>
      <patternFill patternType="solid">
        <fgColor rgb="FFFEFCB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79998168889431442"/>
        <bgColor indexed="64"/>
      </patternFill>
    </fill>
  </fills>
  <borders count="3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</borders>
  <cellStyleXfs count="5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96">
    <xf numFmtId="0" fontId="0" fillId="0" borderId="0" xfId="0"/>
    <xf numFmtId="0" fontId="1" fillId="0" borderId="0" xfId="0" applyFont="1"/>
    <xf numFmtId="4" fontId="0" fillId="0" borderId="0" xfId="0" applyNumberFormat="1"/>
    <xf numFmtId="0" fontId="0" fillId="0" borderId="0" xfId="0" applyNumberFormat="1"/>
    <xf numFmtId="0" fontId="0" fillId="0" borderId="0" xfId="0" applyAlignment="1">
      <alignment horizontal="right"/>
    </xf>
    <xf numFmtId="0" fontId="1" fillId="0" borderId="0" xfId="0" applyFont="1" applyFill="1"/>
    <xf numFmtId="0" fontId="0" fillId="0" borderId="0" xfId="0" applyFill="1"/>
    <xf numFmtId="0" fontId="1" fillId="3" borderId="6" xfId="0" applyNumberFormat="1" applyFont="1" applyFill="1" applyBorder="1" applyAlignment="1">
      <alignment horizontal="center"/>
    </xf>
    <xf numFmtId="4" fontId="1" fillId="3" borderId="6" xfId="0" applyNumberFormat="1" applyFont="1" applyFill="1" applyBorder="1" applyAlignment="1">
      <alignment horizontal="center"/>
    </xf>
    <xf numFmtId="4" fontId="1" fillId="3" borderId="7" xfId="0" applyNumberFormat="1" applyFont="1" applyFill="1" applyBorder="1" applyAlignment="1">
      <alignment horizontal="center"/>
    </xf>
    <xf numFmtId="0" fontId="0" fillId="0" borderId="0" xfId="0" applyFill="1" applyAlignment="1">
      <alignment horizontal="right"/>
    </xf>
    <xf numFmtId="0" fontId="0" fillId="0" borderId="0" xfId="0" applyNumberFormat="1" applyFill="1"/>
    <xf numFmtId="4" fontId="0" fillId="0" borderId="0" xfId="0" applyNumberFormat="1" applyFill="1"/>
    <xf numFmtId="4" fontId="1" fillId="2" borderId="21" xfId="0" applyNumberFormat="1" applyFont="1" applyFill="1" applyBorder="1"/>
    <xf numFmtId="4" fontId="1" fillId="2" borderId="22" xfId="0" applyNumberFormat="1" applyFont="1" applyFill="1" applyBorder="1"/>
    <xf numFmtId="0" fontId="1" fillId="4" borderId="3" xfId="0" applyFont="1" applyFill="1" applyBorder="1" applyAlignment="1" applyProtection="1">
      <alignment horizontal="center"/>
      <protection locked="0"/>
    </xf>
    <xf numFmtId="0" fontId="1" fillId="4" borderId="23" xfId="0" applyFont="1" applyFill="1" applyBorder="1" applyAlignment="1" applyProtection="1">
      <alignment horizontal="center"/>
      <protection locked="0"/>
    </xf>
    <xf numFmtId="0" fontId="10" fillId="5" borderId="16" xfId="1" applyFont="1" applyFill="1" applyBorder="1" applyAlignment="1" applyProtection="1">
      <alignment horizontal="center"/>
      <protection locked="0"/>
    </xf>
    <xf numFmtId="0" fontId="11" fillId="5" borderId="15" xfId="0" applyFont="1" applyFill="1" applyBorder="1" applyAlignment="1" applyProtection="1">
      <alignment horizontal="left"/>
      <protection locked="0"/>
    </xf>
    <xf numFmtId="0" fontId="11" fillId="5" borderId="14" xfId="0" applyFont="1" applyFill="1" applyBorder="1" applyAlignment="1" applyProtection="1">
      <alignment horizontal="left" vertical="center"/>
      <protection locked="0"/>
    </xf>
    <xf numFmtId="3" fontId="1" fillId="6" borderId="18" xfId="0" applyNumberFormat="1" applyFont="1" applyFill="1" applyBorder="1" applyAlignment="1" applyProtection="1">
      <alignment horizontal="center"/>
      <protection locked="0"/>
    </xf>
    <xf numFmtId="0" fontId="10" fillId="5" borderId="1" xfId="1" applyFont="1" applyFill="1" applyBorder="1" applyAlignment="1" applyProtection="1">
      <alignment horizontal="center" vertical="center"/>
      <protection locked="0"/>
    </xf>
    <xf numFmtId="0" fontId="10" fillId="5" borderId="1" xfId="1" applyFont="1" applyFill="1" applyBorder="1" applyAlignment="1" applyProtection="1">
      <alignment horizontal="left" vertical="center"/>
      <protection locked="0"/>
    </xf>
    <xf numFmtId="0" fontId="0" fillId="0" borderId="0" xfId="0" applyFont="1" applyFill="1"/>
    <xf numFmtId="0" fontId="2" fillId="5" borderId="0" xfId="1" applyFont="1" applyFill="1" applyBorder="1" applyAlignment="1" applyProtection="1">
      <alignment horizontal="center" vertical="center"/>
      <protection locked="0"/>
    </xf>
    <xf numFmtId="0" fontId="0" fillId="4" borderId="4" xfId="0" applyFont="1" applyFill="1" applyBorder="1" applyProtection="1">
      <protection locked="0"/>
    </xf>
    <xf numFmtId="0" fontId="0" fillId="2" borderId="2" xfId="0" applyNumberFormat="1" applyFont="1" applyFill="1" applyBorder="1" applyProtection="1"/>
    <xf numFmtId="3" fontId="0" fillId="2" borderId="1" xfId="0" applyNumberFormat="1" applyFont="1" applyFill="1" applyBorder="1"/>
    <xf numFmtId="4" fontId="0" fillId="4" borderId="1" xfId="0" applyNumberFormat="1" applyFont="1" applyFill="1" applyBorder="1" applyProtection="1">
      <protection locked="0"/>
    </xf>
    <xf numFmtId="4" fontId="0" fillId="2" borderId="8" xfId="0" applyNumberFormat="1" applyFont="1" applyFill="1" applyBorder="1"/>
    <xf numFmtId="0" fontId="0" fillId="0" borderId="0" xfId="0" applyFont="1"/>
    <xf numFmtId="0" fontId="0" fillId="4" borderId="1" xfId="0" applyFont="1" applyFill="1" applyBorder="1" applyProtection="1">
      <protection locked="0"/>
    </xf>
    <xf numFmtId="0" fontId="0" fillId="0" borderId="0" xfId="0" applyFill="1" applyAlignment="1">
      <alignment horizontal="left"/>
    </xf>
    <xf numFmtId="0" fontId="0" fillId="0" borderId="0" xfId="0" applyAlignment="1">
      <alignment horizontal="left"/>
    </xf>
    <xf numFmtId="0" fontId="1" fillId="0" borderId="0" xfId="0" applyFont="1" applyFill="1" applyAlignment="1">
      <alignment horizontal="left"/>
    </xf>
    <xf numFmtId="2" fontId="0" fillId="0" borderId="0" xfId="0" applyNumberFormat="1" applyFill="1"/>
    <xf numFmtId="2" fontId="0" fillId="0" borderId="0" xfId="0" applyNumberFormat="1"/>
    <xf numFmtId="2" fontId="1" fillId="0" borderId="0" xfId="0" applyNumberFormat="1" applyFont="1" applyFill="1"/>
    <xf numFmtId="0" fontId="0" fillId="2" borderId="1" xfId="0" applyFont="1" applyFill="1" applyBorder="1" applyAlignment="1">
      <alignment horizontal="left"/>
    </xf>
    <xf numFmtId="0" fontId="0" fillId="2" borderId="2" xfId="0" applyFont="1" applyFill="1" applyBorder="1" applyAlignment="1">
      <alignment horizontal="left"/>
    </xf>
    <xf numFmtId="0" fontId="0" fillId="2" borderId="30" xfId="0" applyFont="1" applyFill="1" applyBorder="1"/>
    <xf numFmtId="2" fontId="0" fillId="2" borderId="8" xfId="0" applyNumberFormat="1" applyFont="1" applyFill="1" applyBorder="1"/>
    <xf numFmtId="0" fontId="0" fillId="2" borderId="23" xfId="0" applyFont="1" applyFill="1" applyBorder="1"/>
    <xf numFmtId="2" fontId="0" fillId="2" borderId="31" xfId="0" applyNumberFormat="1" applyFont="1" applyFill="1" applyBorder="1"/>
    <xf numFmtId="0" fontId="0" fillId="2" borderId="5" xfId="0" applyFont="1" applyFill="1" applyBorder="1"/>
    <xf numFmtId="0" fontId="0" fillId="2" borderId="6" xfId="0" applyFont="1" applyFill="1" applyBorder="1" applyAlignment="1">
      <alignment horizontal="left"/>
    </xf>
    <xf numFmtId="2" fontId="0" fillId="2" borderId="7" xfId="0" applyNumberFormat="1" applyFont="1" applyFill="1" applyBorder="1"/>
    <xf numFmtId="0" fontId="1" fillId="2" borderId="5" xfId="0" applyFont="1" applyFill="1" applyBorder="1"/>
    <xf numFmtId="0" fontId="1" fillId="2" borderId="6" xfId="0" applyFont="1" applyFill="1" applyBorder="1" applyAlignment="1">
      <alignment horizontal="left"/>
    </xf>
    <xf numFmtId="2" fontId="1" fillId="2" borderId="7" xfId="0" applyNumberFormat="1" applyFont="1" applyFill="1" applyBorder="1"/>
    <xf numFmtId="0" fontId="10" fillId="5" borderId="16" xfId="1" applyFont="1" applyFill="1" applyBorder="1" applyAlignment="1" applyProtection="1">
      <alignment horizontal="left"/>
      <protection locked="0"/>
    </xf>
    <xf numFmtId="0" fontId="11" fillId="5" borderId="1" xfId="0" applyNumberFormat="1" applyFont="1" applyFill="1" applyBorder="1" applyAlignment="1" applyProtection="1">
      <alignment horizontal="left"/>
      <protection locked="0"/>
    </xf>
    <xf numFmtId="0" fontId="7" fillId="3" borderId="25" xfId="0" applyNumberFormat="1" applyFont="1" applyFill="1" applyBorder="1" applyAlignment="1">
      <alignment horizontal="right" vertical="top"/>
    </xf>
    <xf numFmtId="0" fontId="7" fillId="3" borderId="10" xfId="0" applyNumberFormat="1" applyFont="1" applyFill="1" applyBorder="1" applyAlignment="1">
      <alignment horizontal="right" vertical="top"/>
    </xf>
    <xf numFmtId="0" fontId="2" fillId="5" borderId="4" xfId="1" applyFont="1" applyFill="1" applyBorder="1" applyAlignment="1" applyProtection="1">
      <alignment horizontal="left" vertical="center"/>
      <protection locked="0"/>
    </xf>
    <xf numFmtId="0" fontId="10" fillId="5" borderId="1" xfId="1" applyFont="1" applyFill="1" applyBorder="1" applyAlignment="1" applyProtection="1">
      <alignment horizontal="left"/>
      <protection locked="0"/>
    </xf>
    <xf numFmtId="0" fontId="10" fillId="5" borderId="15" xfId="1" applyNumberFormat="1" applyFont="1" applyFill="1" applyBorder="1" applyAlignment="1" applyProtection="1">
      <alignment horizontal="left"/>
      <protection locked="0"/>
    </xf>
    <xf numFmtId="4" fontId="1" fillId="3" borderId="17" xfId="0" applyNumberFormat="1" applyFont="1" applyFill="1" applyBorder="1" applyAlignment="1">
      <alignment horizontal="right"/>
    </xf>
    <xf numFmtId="0" fontId="0" fillId="0" borderId="14" xfId="0" applyBorder="1" applyAlignment="1">
      <alignment horizontal="right"/>
    </xf>
    <xf numFmtId="0" fontId="1" fillId="3" borderId="24" xfId="0" applyFont="1" applyFill="1" applyBorder="1" applyAlignment="1">
      <alignment horizontal="center"/>
    </xf>
    <xf numFmtId="0" fontId="1" fillId="3" borderId="25" xfId="0" applyFont="1" applyFill="1" applyBorder="1" applyAlignment="1">
      <alignment horizontal="center"/>
    </xf>
    <xf numFmtId="0" fontId="0" fillId="0" borderId="25" xfId="0" applyBorder="1" applyAlignment="1"/>
    <xf numFmtId="0" fontId="1" fillId="3" borderId="9" xfId="0" applyFont="1" applyFill="1" applyBorder="1" applyAlignment="1">
      <alignment horizontal="center"/>
    </xf>
    <xf numFmtId="0" fontId="1" fillId="3" borderId="10" xfId="0" applyFont="1" applyFill="1" applyBorder="1" applyAlignment="1">
      <alignment horizontal="center"/>
    </xf>
    <xf numFmtId="0" fontId="0" fillId="0" borderId="10" xfId="0" applyBorder="1" applyAlignment="1"/>
    <xf numFmtId="0" fontId="1" fillId="3" borderId="4" xfId="0" applyFont="1" applyFill="1" applyBorder="1" applyAlignment="1">
      <alignment horizontal="left" vertical="center" wrapText="1"/>
    </xf>
    <xf numFmtId="0" fontId="1" fillId="3" borderId="6" xfId="0" applyFont="1" applyFill="1" applyBorder="1" applyAlignment="1">
      <alignment horizontal="left" vertical="center"/>
    </xf>
    <xf numFmtId="0" fontId="1" fillId="7" borderId="32" xfId="0" applyFont="1" applyFill="1" applyBorder="1" applyAlignment="1">
      <alignment horizontal="left"/>
    </xf>
    <xf numFmtId="0" fontId="1" fillId="7" borderId="14" xfId="0" applyFont="1" applyFill="1" applyBorder="1" applyAlignment="1">
      <alignment horizontal="left"/>
    </xf>
    <xf numFmtId="0" fontId="1" fillId="7" borderId="18" xfId="0" applyFont="1" applyFill="1" applyBorder="1" applyAlignment="1">
      <alignment horizontal="left"/>
    </xf>
    <xf numFmtId="0" fontId="1" fillId="3" borderId="19" xfId="0" applyFont="1" applyFill="1" applyBorder="1" applyAlignment="1">
      <alignment horizontal="center" vertical="center"/>
    </xf>
    <xf numFmtId="0" fontId="1" fillId="3" borderId="20" xfId="0" applyFont="1" applyFill="1" applyBorder="1" applyAlignment="1">
      <alignment horizontal="center" vertical="center"/>
    </xf>
    <xf numFmtId="0" fontId="1" fillId="3" borderId="4" xfId="0" applyNumberFormat="1" applyFont="1" applyFill="1" applyBorder="1" applyAlignment="1">
      <alignment vertical="center"/>
    </xf>
    <xf numFmtId="0" fontId="1" fillId="3" borderId="6" xfId="0" applyNumberFormat="1" applyFont="1" applyFill="1" applyBorder="1" applyAlignment="1">
      <alignment vertical="center"/>
    </xf>
    <xf numFmtId="0" fontId="1" fillId="3" borderId="3" xfId="0" applyFont="1" applyFill="1" applyBorder="1" applyAlignment="1">
      <alignment vertical="center"/>
    </xf>
    <xf numFmtId="0" fontId="1" fillId="3" borderId="5" xfId="0" applyFont="1" applyFill="1" applyBorder="1" applyAlignment="1">
      <alignment vertical="center"/>
    </xf>
    <xf numFmtId="0" fontId="1" fillId="3" borderId="4" xfId="0" applyFont="1" applyFill="1" applyBorder="1" applyAlignment="1">
      <alignment vertical="center"/>
    </xf>
    <xf numFmtId="0" fontId="1" fillId="3" borderId="6" xfId="0" applyFont="1" applyFill="1" applyBorder="1" applyAlignment="1">
      <alignment vertical="center"/>
    </xf>
    <xf numFmtId="0" fontId="1" fillId="3" borderId="4" xfId="0" applyFont="1" applyFill="1" applyBorder="1" applyAlignment="1">
      <alignment horizontal="left" vertical="center"/>
    </xf>
    <xf numFmtId="0" fontId="1" fillId="3" borderId="11" xfId="0" applyFont="1" applyFill="1" applyBorder="1" applyAlignment="1">
      <alignment vertical="center"/>
    </xf>
    <xf numFmtId="0" fontId="0" fillId="3" borderId="12" xfId="0" applyFill="1" applyBorder="1" applyAlignment="1">
      <alignment vertical="center"/>
    </xf>
    <xf numFmtId="0" fontId="1" fillId="4" borderId="27" xfId="0" applyFont="1" applyFill="1" applyBorder="1" applyAlignment="1">
      <alignment horizontal="center" vertical="center"/>
    </xf>
    <xf numFmtId="0" fontId="1" fillId="4" borderId="28" xfId="0" applyFont="1" applyFill="1" applyBorder="1" applyAlignment="1">
      <alignment horizontal="center" vertical="center"/>
    </xf>
    <xf numFmtId="4" fontId="7" fillId="3" borderId="25" xfId="0" applyNumberFormat="1" applyFont="1" applyFill="1" applyBorder="1" applyAlignment="1">
      <alignment horizontal="right" vertical="top"/>
    </xf>
    <xf numFmtId="0" fontId="0" fillId="0" borderId="25" xfId="0" applyBorder="1" applyAlignment="1">
      <alignment horizontal="right" vertical="top"/>
    </xf>
    <xf numFmtId="0" fontId="0" fillId="0" borderId="26" xfId="0" applyBorder="1" applyAlignment="1">
      <alignment horizontal="right" vertical="top"/>
    </xf>
    <xf numFmtId="4" fontId="7" fillId="3" borderId="10" xfId="0" applyNumberFormat="1" applyFont="1" applyFill="1" applyBorder="1" applyAlignment="1">
      <alignment horizontal="right" vertical="top"/>
    </xf>
    <xf numFmtId="0" fontId="0" fillId="0" borderId="10" xfId="0" applyBorder="1" applyAlignment="1">
      <alignment horizontal="right" vertical="top"/>
    </xf>
    <xf numFmtId="0" fontId="0" fillId="0" borderId="13" xfId="0" applyBorder="1" applyAlignment="1">
      <alignment horizontal="right" vertical="top"/>
    </xf>
    <xf numFmtId="0" fontId="1" fillId="2" borderId="27" xfId="0" applyFont="1" applyFill="1" applyBorder="1" applyAlignment="1">
      <alignment horizontal="center" vertical="center"/>
    </xf>
    <xf numFmtId="0" fontId="1" fillId="2" borderId="28" xfId="0" applyFont="1" applyFill="1" applyBorder="1" applyAlignment="1">
      <alignment horizontal="center" vertical="center"/>
    </xf>
    <xf numFmtId="0" fontId="8" fillId="0" borderId="0" xfId="0" applyFont="1" applyFill="1"/>
    <xf numFmtId="0" fontId="1" fillId="0" borderId="27" xfId="0" applyFont="1" applyFill="1" applyBorder="1" applyAlignment="1">
      <alignment horizontal="center" vertical="center"/>
    </xf>
    <xf numFmtId="0" fontId="1" fillId="0" borderId="28" xfId="0" applyFont="1" applyFill="1" applyBorder="1" applyAlignment="1">
      <alignment horizontal="center" vertical="center"/>
    </xf>
    <xf numFmtId="0" fontId="9" fillId="0" borderId="29" xfId="0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</cellXfs>
  <cellStyles count="5">
    <cellStyle name="Lien hypertexte" xfId="1" builtinId="8"/>
    <cellStyle name="Lien hypertexte visité" xfId="2" builtinId="9" hidden="1"/>
    <cellStyle name="Lien hypertexte visité" xfId="3" builtinId="9" hidden="1"/>
    <cellStyle name="Lien hypertexte visité" xfId="4" builtinId="9" hidden="1"/>
    <cellStyle name="Normal" xfId="0" builtinId="0"/>
  </cellStyles>
  <dxfs count="0"/>
  <tableStyles count="0" defaultTableStyle="TableStyleMedium9" defaultPivotStyle="PivotStyleLight16"/>
  <colors>
    <mruColors>
      <color rgb="FFCCFFCC"/>
      <color rgb="FFFFFFCC"/>
      <color rgb="FFFEFCBA"/>
      <color rgb="FF99FF99"/>
      <color rgb="FFFDFA7F"/>
      <color rgb="FFFEFDD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distrelec.ch/" TargetMode="External"/><Relationship Id="rId1" Type="http://schemas.openxmlformats.org/officeDocument/2006/relationships/hyperlink" Target="https://www.distrelec.ch/fr/barrette-broches-36p-preci-dip-330-36-02-902/p/14383912?q=122112&amp;page=1&amp;origPos=1&amp;origPageSize=50&amp;simi=96.96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enableFormatConditionsCalculation="0">
    <pageSetUpPr fitToPage="1"/>
  </sheetPr>
  <dimension ref="A1:S76"/>
  <sheetViews>
    <sheetView showGridLines="0" tabSelected="1" zoomScaleNormal="100" zoomScalePageLayoutView="150" workbookViewId="0">
      <selection activeCell="A3" sqref="A3"/>
    </sheetView>
  </sheetViews>
  <sheetFormatPr baseColWidth="10" defaultRowHeight="14.4" x14ac:dyDescent="0.3"/>
  <cols>
    <col min="1" max="1" width="10.5546875" bestFit="1" customWidth="1"/>
    <col min="2" max="2" width="13.109375" style="33" customWidth="1"/>
    <col min="3" max="3" width="10.6640625" bestFit="1" customWidth="1"/>
    <col min="4" max="4" width="10.77734375" style="33" customWidth="1"/>
    <col min="5" max="5" width="54.44140625" style="4" bestFit="1" customWidth="1"/>
    <col min="6" max="6" width="10.77734375" style="3" customWidth="1"/>
    <col min="7" max="7" width="16.77734375" style="3" customWidth="1"/>
    <col min="8" max="8" width="25.77734375" style="3" customWidth="1"/>
    <col min="9" max="10" width="6.77734375" customWidth="1"/>
    <col min="11" max="12" width="6.77734375" style="3" customWidth="1"/>
    <col min="13" max="14" width="8.77734375" style="2" customWidth="1"/>
    <col min="15" max="15" width="11.5546875" style="6"/>
    <col min="16" max="16" width="4" style="6" bestFit="1" customWidth="1"/>
    <col min="17" max="17" width="11.109375" style="33" bestFit="1" customWidth="1"/>
    <col min="18" max="18" width="54.44140625" style="33" bestFit="1" customWidth="1"/>
    <col min="19" max="19" width="7.21875" style="36" bestFit="1" customWidth="1"/>
  </cols>
  <sheetData>
    <row r="1" spans="1:19" x14ac:dyDescent="0.3">
      <c r="A1" s="74" t="s">
        <v>15</v>
      </c>
      <c r="B1" s="65" t="s">
        <v>26</v>
      </c>
      <c r="C1" s="76" t="s">
        <v>0</v>
      </c>
      <c r="D1" s="78" t="s">
        <v>14</v>
      </c>
      <c r="E1" s="79" t="s">
        <v>28</v>
      </c>
      <c r="F1" s="72" t="s">
        <v>1</v>
      </c>
      <c r="G1" s="72" t="s">
        <v>16</v>
      </c>
      <c r="H1" s="72" t="s">
        <v>2</v>
      </c>
      <c r="I1" s="70" t="s">
        <v>5</v>
      </c>
      <c r="J1" s="70" t="s">
        <v>17</v>
      </c>
      <c r="K1" s="57" t="s">
        <v>20</v>
      </c>
      <c r="L1" s="58"/>
      <c r="M1" s="58"/>
      <c r="N1" s="20">
        <v>3</v>
      </c>
      <c r="P1" s="67" t="s">
        <v>29</v>
      </c>
      <c r="Q1" s="68"/>
      <c r="R1" s="68"/>
      <c r="S1" s="69"/>
    </row>
    <row r="2" spans="1:19" s="1" customFormat="1" ht="15" thickBot="1" x14ac:dyDescent="0.35">
      <c r="A2" s="75"/>
      <c r="B2" s="66"/>
      <c r="C2" s="77"/>
      <c r="D2" s="66"/>
      <c r="E2" s="80"/>
      <c r="F2" s="73"/>
      <c r="G2" s="73"/>
      <c r="H2" s="73"/>
      <c r="I2" s="71"/>
      <c r="J2" s="71"/>
      <c r="K2" s="7" t="s">
        <v>3</v>
      </c>
      <c r="L2" s="7" t="s">
        <v>18</v>
      </c>
      <c r="M2" s="8" t="s">
        <v>19</v>
      </c>
      <c r="N2" s="9" t="s">
        <v>4</v>
      </c>
      <c r="O2" s="5"/>
      <c r="P2" s="47" t="str">
        <f>K2</f>
        <v>Qté</v>
      </c>
      <c r="Q2" s="48" t="str">
        <f>D1</f>
        <v>N°art.fourn.</v>
      </c>
      <c r="R2" s="48" t="str">
        <f>E1</f>
        <v>Désignation, type, valeur, tolérance, puissance/tension, boîtier</v>
      </c>
      <c r="S2" s="49" t="str">
        <f>M2</f>
        <v>Prix/un</v>
      </c>
    </row>
    <row r="3" spans="1:19" s="30" customFormat="1" x14ac:dyDescent="0.3">
      <c r="A3" s="15">
        <v>0.2</v>
      </c>
      <c r="B3" s="22" t="s">
        <v>27</v>
      </c>
      <c r="C3" s="24" t="s">
        <v>9</v>
      </c>
      <c r="D3" s="54" t="s">
        <v>25</v>
      </c>
      <c r="E3" s="19" t="s">
        <v>11</v>
      </c>
      <c r="F3" s="51" t="s">
        <v>10</v>
      </c>
      <c r="G3" s="51" t="s">
        <v>12</v>
      </c>
      <c r="H3" s="51" t="s">
        <v>13</v>
      </c>
      <c r="I3" s="25">
        <v>4</v>
      </c>
      <c r="J3" s="25">
        <v>4</v>
      </c>
      <c r="K3" s="26">
        <f>IF(ISNUMBER(A3),ROUNDUP(A3*$N$1,0),"")</f>
        <v>1</v>
      </c>
      <c r="L3" s="27">
        <f>IF(ISNUMBER(K3),MAX(0,K3+J3-I3),"")</f>
        <v>1</v>
      </c>
      <c r="M3" s="28">
        <v>1.7</v>
      </c>
      <c r="N3" s="29">
        <f>IF(AND(ISNUMBER(L3),ISNUMBER(M3)),$L3*$M3,"")</f>
        <v>1.7</v>
      </c>
      <c r="O3" s="23"/>
      <c r="P3" s="40">
        <f>IF($L3&gt;0,L3,"")</f>
        <v>1</v>
      </c>
      <c r="Q3" s="39" t="str">
        <f>IF(ISBLANK(D3),"",IF($L3&gt;0,D3,""))</f>
        <v>143-83-912</v>
      </c>
      <c r="R3" s="39" t="str">
        <f>IF(ISBLANK(E3),"",IF($L3&gt;0,E3,""))</f>
        <v>Barrette à broches 1 x36P</v>
      </c>
      <c r="S3" s="41">
        <f>IF(ISBLANK(M3),"",IF($L3&gt;0,M3,""))</f>
        <v>1.7</v>
      </c>
    </row>
    <row r="4" spans="1:19" s="30" customFormat="1" x14ac:dyDescent="0.3">
      <c r="A4" s="16"/>
      <c r="B4" s="22"/>
      <c r="C4" s="21"/>
      <c r="D4" s="55"/>
      <c r="E4" s="18"/>
      <c r="F4" s="51"/>
      <c r="G4" s="51"/>
      <c r="H4" s="56"/>
      <c r="I4" s="31"/>
      <c r="J4" s="31"/>
      <c r="K4" s="26" t="str">
        <f t="shared" ref="K4:K21" si="0">IF(ISNUMBER(A4),ROUNDUP(A4*$N$1,0),"")</f>
        <v/>
      </c>
      <c r="L4" s="27" t="str">
        <f t="shared" ref="L4:L21" si="1">IF(ISNUMBER(K4),MAX(0,K4+J4-I4),"")</f>
        <v/>
      </c>
      <c r="M4" s="28"/>
      <c r="N4" s="29" t="str">
        <f t="shared" ref="N4:N21" si="2">IF(AND(ISNUMBER(L4),ISNUMBER(M4)),$L4*$M4,"")</f>
        <v/>
      </c>
      <c r="O4" s="23"/>
      <c r="P4" s="42" t="str">
        <f t="shared" ref="P4:P21" si="3">IF($L4&gt;0,L4,"")</f>
        <v/>
      </c>
      <c r="Q4" s="38" t="str">
        <f t="shared" ref="Q4:Q21" si="4">IF(ISBLANK(D4),"",IF($L4&gt;0,D4,""))</f>
        <v/>
      </c>
      <c r="R4" s="38" t="str">
        <f t="shared" ref="R4:R21" si="5">IF(ISBLANK(E4),"",IF($L4&gt;0,E4,""))</f>
        <v/>
      </c>
      <c r="S4" s="43" t="str">
        <f t="shared" ref="S4:S21" si="6">IF(ISBLANK(M4),"",IF($L4&gt;0,M4,""))</f>
        <v/>
      </c>
    </row>
    <row r="5" spans="1:19" s="30" customFormat="1" x14ac:dyDescent="0.3">
      <c r="A5" s="16"/>
      <c r="B5" s="22"/>
      <c r="C5" s="21"/>
      <c r="D5" s="55"/>
      <c r="E5" s="18"/>
      <c r="F5" s="51"/>
      <c r="G5" s="51"/>
      <c r="H5" s="56"/>
      <c r="I5" s="31"/>
      <c r="J5" s="31"/>
      <c r="K5" s="26" t="str">
        <f t="shared" si="0"/>
        <v/>
      </c>
      <c r="L5" s="27" t="str">
        <f t="shared" si="1"/>
        <v/>
      </c>
      <c r="M5" s="28"/>
      <c r="N5" s="29" t="str">
        <f t="shared" si="2"/>
        <v/>
      </c>
      <c r="O5" s="23"/>
      <c r="P5" s="42" t="str">
        <f t="shared" si="3"/>
        <v/>
      </c>
      <c r="Q5" s="38" t="str">
        <f t="shared" si="4"/>
        <v/>
      </c>
      <c r="R5" s="38" t="str">
        <f t="shared" si="5"/>
        <v/>
      </c>
      <c r="S5" s="43" t="str">
        <f t="shared" si="6"/>
        <v/>
      </c>
    </row>
    <row r="6" spans="1:19" s="30" customFormat="1" x14ac:dyDescent="0.3">
      <c r="A6" s="16"/>
      <c r="B6" s="22"/>
      <c r="C6" s="21"/>
      <c r="D6" s="55"/>
      <c r="E6" s="18"/>
      <c r="F6" s="51"/>
      <c r="G6" s="51"/>
      <c r="H6" s="56"/>
      <c r="I6" s="31"/>
      <c r="J6" s="31"/>
      <c r="K6" s="26" t="str">
        <f t="shared" si="0"/>
        <v/>
      </c>
      <c r="L6" s="27" t="str">
        <f t="shared" si="1"/>
        <v/>
      </c>
      <c r="M6" s="28"/>
      <c r="N6" s="29" t="str">
        <f t="shared" si="2"/>
        <v/>
      </c>
      <c r="O6" s="23"/>
      <c r="P6" s="42" t="str">
        <f t="shared" si="3"/>
        <v/>
      </c>
      <c r="Q6" s="38" t="str">
        <f t="shared" si="4"/>
        <v/>
      </c>
      <c r="R6" s="38" t="str">
        <f t="shared" si="5"/>
        <v/>
      </c>
      <c r="S6" s="43" t="str">
        <f t="shared" si="6"/>
        <v/>
      </c>
    </row>
    <row r="7" spans="1:19" s="30" customFormat="1" x14ac:dyDescent="0.3">
      <c r="A7" s="16"/>
      <c r="B7" s="22"/>
      <c r="C7" s="21"/>
      <c r="D7" s="55"/>
      <c r="E7" s="18"/>
      <c r="F7" s="51"/>
      <c r="G7" s="51"/>
      <c r="H7" s="56"/>
      <c r="I7" s="31"/>
      <c r="J7" s="31"/>
      <c r="K7" s="26" t="str">
        <f t="shared" si="0"/>
        <v/>
      </c>
      <c r="L7" s="27" t="str">
        <f t="shared" si="1"/>
        <v/>
      </c>
      <c r="M7" s="28"/>
      <c r="N7" s="29" t="str">
        <f t="shared" si="2"/>
        <v/>
      </c>
      <c r="O7" s="23"/>
      <c r="P7" s="42" t="str">
        <f t="shared" si="3"/>
        <v/>
      </c>
      <c r="Q7" s="38" t="str">
        <f t="shared" si="4"/>
        <v/>
      </c>
      <c r="R7" s="38" t="str">
        <f t="shared" si="5"/>
        <v/>
      </c>
      <c r="S7" s="43" t="str">
        <f t="shared" si="6"/>
        <v/>
      </c>
    </row>
    <row r="8" spans="1:19" s="30" customFormat="1" x14ac:dyDescent="0.3">
      <c r="A8" s="16"/>
      <c r="B8" s="22"/>
      <c r="C8" s="21"/>
      <c r="D8" s="55"/>
      <c r="E8" s="18"/>
      <c r="F8" s="51"/>
      <c r="G8" s="51"/>
      <c r="H8" s="56"/>
      <c r="I8" s="31"/>
      <c r="J8" s="31"/>
      <c r="K8" s="26" t="str">
        <f t="shared" ref="K8" si="7">IF(ISNUMBER(A8),ROUNDUP(A8*$N$1,0),"")</f>
        <v/>
      </c>
      <c r="L8" s="27" t="str">
        <f t="shared" ref="L8" si="8">IF(ISNUMBER(K8),MAX(0,K8+J8-I8),"")</f>
        <v/>
      </c>
      <c r="M8" s="28"/>
      <c r="N8" s="29" t="str">
        <f t="shared" ref="N8" si="9">IF(AND(ISNUMBER(L8),ISNUMBER(M8)),$L8*$M8,"")</f>
        <v/>
      </c>
      <c r="O8" s="23"/>
      <c r="P8" s="42" t="str">
        <f t="shared" si="3"/>
        <v/>
      </c>
      <c r="Q8" s="38" t="str">
        <f t="shared" si="4"/>
        <v/>
      </c>
      <c r="R8" s="38" t="str">
        <f t="shared" si="5"/>
        <v/>
      </c>
      <c r="S8" s="43" t="str">
        <f t="shared" si="6"/>
        <v/>
      </c>
    </row>
    <row r="9" spans="1:19" s="30" customFormat="1" x14ac:dyDescent="0.3">
      <c r="A9" s="16"/>
      <c r="B9" s="22"/>
      <c r="C9" s="21"/>
      <c r="D9" s="55"/>
      <c r="E9" s="18"/>
      <c r="F9" s="51"/>
      <c r="G9" s="51"/>
      <c r="H9" s="56"/>
      <c r="I9" s="31"/>
      <c r="J9" s="31"/>
      <c r="K9" s="26" t="str">
        <f t="shared" si="0"/>
        <v/>
      </c>
      <c r="L9" s="27" t="str">
        <f t="shared" si="1"/>
        <v/>
      </c>
      <c r="M9" s="28"/>
      <c r="N9" s="29" t="str">
        <f t="shared" si="2"/>
        <v/>
      </c>
      <c r="O9" s="23"/>
      <c r="P9" s="42" t="str">
        <f t="shared" si="3"/>
        <v/>
      </c>
      <c r="Q9" s="38" t="str">
        <f t="shared" si="4"/>
        <v/>
      </c>
      <c r="R9" s="38" t="str">
        <f t="shared" si="5"/>
        <v/>
      </c>
      <c r="S9" s="43" t="str">
        <f t="shared" si="6"/>
        <v/>
      </c>
    </row>
    <row r="10" spans="1:19" s="30" customFormat="1" x14ac:dyDescent="0.3">
      <c r="A10" s="16"/>
      <c r="B10" s="22"/>
      <c r="C10" s="21"/>
      <c r="D10" s="55"/>
      <c r="E10" s="18"/>
      <c r="F10" s="51"/>
      <c r="G10" s="51"/>
      <c r="H10" s="56"/>
      <c r="I10" s="31"/>
      <c r="J10" s="31"/>
      <c r="K10" s="26" t="str">
        <f t="shared" ref="K10" si="10">IF(ISNUMBER(A10),ROUNDUP(A10*$N$1,0),"")</f>
        <v/>
      </c>
      <c r="L10" s="27" t="str">
        <f t="shared" ref="L10" si="11">IF(ISNUMBER(K10),MAX(0,K10+J10-I10),"")</f>
        <v/>
      </c>
      <c r="M10" s="28"/>
      <c r="N10" s="29" t="str">
        <f t="shared" ref="N10" si="12">IF(AND(ISNUMBER(L10),ISNUMBER(M10)),$L10*$M10,"")</f>
        <v/>
      </c>
      <c r="O10" s="23"/>
      <c r="P10" s="42" t="str">
        <f t="shared" si="3"/>
        <v/>
      </c>
      <c r="Q10" s="38" t="str">
        <f t="shared" si="4"/>
        <v/>
      </c>
      <c r="R10" s="38" t="str">
        <f t="shared" si="5"/>
        <v/>
      </c>
      <c r="S10" s="43" t="str">
        <f t="shared" si="6"/>
        <v/>
      </c>
    </row>
    <row r="11" spans="1:19" s="30" customFormat="1" x14ac:dyDescent="0.3">
      <c r="A11" s="16"/>
      <c r="B11" s="22"/>
      <c r="C11" s="21"/>
      <c r="D11" s="55"/>
      <c r="E11" s="18"/>
      <c r="F11" s="51"/>
      <c r="G11" s="51"/>
      <c r="H11" s="56"/>
      <c r="I11" s="31"/>
      <c r="J11" s="31"/>
      <c r="K11" s="26" t="str">
        <f t="shared" si="0"/>
        <v/>
      </c>
      <c r="L11" s="27" t="str">
        <f t="shared" si="1"/>
        <v/>
      </c>
      <c r="M11" s="28"/>
      <c r="N11" s="29" t="str">
        <f t="shared" si="2"/>
        <v/>
      </c>
      <c r="O11" s="23"/>
      <c r="P11" s="42" t="str">
        <f t="shared" si="3"/>
        <v/>
      </c>
      <c r="Q11" s="38" t="str">
        <f t="shared" si="4"/>
        <v/>
      </c>
      <c r="R11" s="38" t="str">
        <f t="shared" si="5"/>
        <v/>
      </c>
      <c r="S11" s="43" t="str">
        <f t="shared" si="6"/>
        <v/>
      </c>
    </row>
    <row r="12" spans="1:19" s="30" customFormat="1" x14ac:dyDescent="0.3">
      <c r="A12" s="16"/>
      <c r="B12" s="22"/>
      <c r="C12" s="21"/>
      <c r="D12" s="55"/>
      <c r="E12" s="18"/>
      <c r="F12" s="51"/>
      <c r="G12" s="51"/>
      <c r="H12" s="56"/>
      <c r="I12" s="31"/>
      <c r="J12" s="31"/>
      <c r="K12" s="26" t="str">
        <f t="shared" ref="K12" si="13">IF(ISNUMBER(A12),ROUNDUP(A12*$N$1,0),"")</f>
        <v/>
      </c>
      <c r="L12" s="27" t="str">
        <f t="shared" ref="L12" si="14">IF(ISNUMBER(K12),MAX(0,K12+J12-I12),"")</f>
        <v/>
      </c>
      <c r="M12" s="28"/>
      <c r="N12" s="29" t="str">
        <f t="shared" ref="N12" si="15">IF(AND(ISNUMBER(L12),ISNUMBER(M12)),$L12*$M12,"")</f>
        <v/>
      </c>
      <c r="O12" s="23"/>
      <c r="P12" s="42" t="str">
        <f t="shared" si="3"/>
        <v/>
      </c>
      <c r="Q12" s="38" t="str">
        <f t="shared" si="4"/>
        <v/>
      </c>
      <c r="R12" s="38" t="str">
        <f t="shared" si="5"/>
        <v/>
      </c>
      <c r="S12" s="43" t="str">
        <f t="shared" si="6"/>
        <v/>
      </c>
    </row>
    <row r="13" spans="1:19" s="30" customFormat="1" x14ac:dyDescent="0.3">
      <c r="A13" s="16"/>
      <c r="B13" s="22"/>
      <c r="C13" s="21"/>
      <c r="D13" s="55"/>
      <c r="E13" s="18"/>
      <c r="F13" s="51"/>
      <c r="G13" s="51"/>
      <c r="H13" s="56"/>
      <c r="I13" s="31"/>
      <c r="J13" s="31"/>
      <c r="K13" s="26" t="str">
        <f t="shared" si="0"/>
        <v/>
      </c>
      <c r="L13" s="27" t="str">
        <f t="shared" si="1"/>
        <v/>
      </c>
      <c r="M13" s="28"/>
      <c r="N13" s="29" t="str">
        <f t="shared" si="2"/>
        <v/>
      </c>
      <c r="O13" s="23"/>
      <c r="P13" s="42" t="str">
        <f t="shared" si="3"/>
        <v/>
      </c>
      <c r="Q13" s="38" t="str">
        <f t="shared" si="4"/>
        <v/>
      </c>
      <c r="R13" s="38" t="str">
        <f t="shared" si="5"/>
        <v/>
      </c>
      <c r="S13" s="43" t="str">
        <f t="shared" si="6"/>
        <v/>
      </c>
    </row>
    <row r="14" spans="1:19" s="30" customFormat="1" x14ac:dyDescent="0.3">
      <c r="A14" s="16"/>
      <c r="B14" s="22"/>
      <c r="C14" s="21"/>
      <c r="D14" s="55"/>
      <c r="E14" s="18"/>
      <c r="F14" s="51"/>
      <c r="G14" s="51"/>
      <c r="H14" s="56"/>
      <c r="I14" s="31"/>
      <c r="J14" s="31"/>
      <c r="K14" s="26" t="str">
        <f t="shared" ref="K14" si="16">IF(ISNUMBER(A14),ROUNDUP(A14*$N$1,0),"")</f>
        <v/>
      </c>
      <c r="L14" s="27" t="str">
        <f t="shared" ref="L14" si="17">IF(ISNUMBER(K14),MAX(0,K14+J14-I14),"")</f>
        <v/>
      </c>
      <c r="M14" s="28"/>
      <c r="N14" s="29" t="str">
        <f t="shared" ref="N14" si="18">IF(AND(ISNUMBER(L14),ISNUMBER(M14)),$L14*$M14,"")</f>
        <v/>
      </c>
      <c r="O14" s="23"/>
      <c r="P14" s="42" t="str">
        <f t="shared" si="3"/>
        <v/>
      </c>
      <c r="Q14" s="38" t="str">
        <f t="shared" si="4"/>
        <v/>
      </c>
      <c r="R14" s="38" t="str">
        <f t="shared" si="5"/>
        <v/>
      </c>
      <c r="S14" s="43" t="str">
        <f t="shared" si="6"/>
        <v/>
      </c>
    </row>
    <row r="15" spans="1:19" s="30" customFormat="1" x14ac:dyDescent="0.3">
      <c r="A15" s="16"/>
      <c r="B15" s="22"/>
      <c r="C15" s="21"/>
      <c r="D15" s="55"/>
      <c r="E15" s="18"/>
      <c r="F15" s="51"/>
      <c r="G15" s="51"/>
      <c r="H15" s="56"/>
      <c r="I15" s="31"/>
      <c r="J15" s="31"/>
      <c r="K15" s="26" t="str">
        <f t="shared" si="0"/>
        <v/>
      </c>
      <c r="L15" s="27" t="str">
        <f t="shared" si="1"/>
        <v/>
      </c>
      <c r="M15" s="28"/>
      <c r="N15" s="29" t="str">
        <f t="shared" si="2"/>
        <v/>
      </c>
      <c r="O15" s="23"/>
      <c r="P15" s="42" t="str">
        <f t="shared" si="3"/>
        <v/>
      </c>
      <c r="Q15" s="38" t="str">
        <f t="shared" si="4"/>
        <v/>
      </c>
      <c r="R15" s="38" t="str">
        <f t="shared" si="5"/>
        <v/>
      </c>
      <c r="S15" s="43" t="str">
        <f t="shared" si="6"/>
        <v/>
      </c>
    </row>
    <row r="16" spans="1:19" s="30" customFormat="1" x14ac:dyDescent="0.3">
      <c r="A16" s="16"/>
      <c r="B16" s="22"/>
      <c r="C16" s="21"/>
      <c r="D16" s="55"/>
      <c r="E16" s="18"/>
      <c r="F16" s="51"/>
      <c r="G16" s="51"/>
      <c r="H16" s="56"/>
      <c r="I16" s="31"/>
      <c r="J16" s="31"/>
      <c r="K16" s="26" t="str">
        <f t="shared" si="0"/>
        <v/>
      </c>
      <c r="L16" s="27" t="str">
        <f t="shared" si="1"/>
        <v/>
      </c>
      <c r="M16" s="28"/>
      <c r="N16" s="29" t="str">
        <f t="shared" si="2"/>
        <v/>
      </c>
      <c r="O16" s="23"/>
      <c r="P16" s="42" t="str">
        <f t="shared" si="3"/>
        <v/>
      </c>
      <c r="Q16" s="38" t="str">
        <f t="shared" si="4"/>
        <v/>
      </c>
      <c r="R16" s="38" t="str">
        <f t="shared" si="5"/>
        <v/>
      </c>
      <c r="S16" s="43" t="str">
        <f t="shared" si="6"/>
        <v/>
      </c>
    </row>
    <row r="17" spans="1:19" s="30" customFormat="1" x14ac:dyDescent="0.3">
      <c r="A17" s="16"/>
      <c r="B17" s="22"/>
      <c r="C17" s="21"/>
      <c r="D17" s="55"/>
      <c r="E17" s="18"/>
      <c r="F17" s="51"/>
      <c r="G17" s="51"/>
      <c r="H17" s="56"/>
      <c r="I17" s="31"/>
      <c r="J17" s="31"/>
      <c r="K17" s="26" t="str">
        <f t="shared" si="0"/>
        <v/>
      </c>
      <c r="L17" s="27" t="str">
        <f t="shared" si="1"/>
        <v/>
      </c>
      <c r="M17" s="28"/>
      <c r="N17" s="29" t="str">
        <f t="shared" si="2"/>
        <v/>
      </c>
      <c r="O17" s="23"/>
      <c r="P17" s="42" t="str">
        <f t="shared" si="3"/>
        <v/>
      </c>
      <c r="Q17" s="38" t="str">
        <f t="shared" si="4"/>
        <v/>
      </c>
      <c r="R17" s="38" t="str">
        <f t="shared" si="5"/>
        <v/>
      </c>
      <c r="S17" s="43" t="str">
        <f t="shared" si="6"/>
        <v/>
      </c>
    </row>
    <row r="18" spans="1:19" s="30" customFormat="1" x14ac:dyDescent="0.3">
      <c r="A18" s="16"/>
      <c r="B18" s="22"/>
      <c r="C18" s="21"/>
      <c r="D18" s="55"/>
      <c r="E18" s="18"/>
      <c r="F18" s="51"/>
      <c r="G18" s="51"/>
      <c r="H18" s="56"/>
      <c r="I18" s="31"/>
      <c r="J18" s="31"/>
      <c r="K18" s="26" t="str">
        <f t="shared" si="0"/>
        <v/>
      </c>
      <c r="L18" s="27" t="str">
        <f t="shared" si="1"/>
        <v/>
      </c>
      <c r="M18" s="28"/>
      <c r="N18" s="29" t="str">
        <f t="shared" si="2"/>
        <v/>
      </c>
      <c r="O18" s="23"/>
      <c r="P18" s="42" t="str">
        <f t="shared" si="3"/>
        <v/>
      </c>
      <c r="Q18" s="38" t="str">
        <f t="shared" si="4"/>
        <v/>
      </c>
      <c r="R18" s="38" t="str">
        <f t="shared" si="5"/>
        <v/>
      </c>
      <c r="S18" s="43" t="str">
        <f t="shared" si="6"/>
        <v/>
      </c>
    </row>
    <row r="19" spans="1:19" s="30" customFormat="1" x14ac:dyDescent="0.3">
      <c r="A19" s="16"/>
      <c r="B19" s="50"/>
      <c r="C19" s="17"/>
      <c r="D19" s="55"/>
      <c r="E19" s="18"/>
      <c r="F19" s="51"/>
      <c r="G19" s="51"/>
      <c r="H19" s="56"/>
      <c r="I19" s="31"/>
      <c r="J19" s="31"/>
      <c r="K19" s="26" t="str">
        <f t="shared" si="0"/>
        <v/>
      </c>
      <c r="L19" s="27" t="str">
        <f t="shared" si="1"/>
        <v/>
      </c>
      <c r="M19" s="28"/>
      <c r="N19" s="29" t="str">
        <f t="shared" si="2"/>
        <v/>
      </c>
      <c r="O19" s="23"/>
      <c r="P19" s="42" t="str">
        <f t="shared" si="3"/>
        <v/>
      </c>
      <c r="Q19" s="38" t="str">
        <f t="shared" si="4"/>
        <v/>
      </c>
      <c r="R19" s="38" t="str">
        <f t="shared" si="5"/>
        <v/>
      </c>
      <c r="S19" s="43" t="str">
        <f t="shared" si="6"/>
        <v/>
      </c>
    </row>
    <row r="20" spans="1:19" s="30" customFormat="1" x14ac:dyDescent="0.3">
      <c r="A20" s="16"/>
      <c r="B20" s="50"/>
      <c r="C20" s="17"/>
      <c r="D20" s="55"/>
      <c r="E20" s="18"/>
      <c r="F20" s="51"/>
      <c r="G20" s="51"/>
      <c r="H20" s="56"/>
      <c r="I20" s="31"/>
      <c r="J20" s="31"/>
      <c r="K20" s="26" t="str">
        <f t="shared" si="0"/>
        <v/>
      </c>
      <c r="L20" s="27" t="str">
        <f t="shared" si="1"/>
        <v/>
      </c>
      <c r="M20" s="28"/>
      <c r="N20" s="29" t="str">
        <f t="shared" si="2"/>
        <v/>
      </c>
      <c r="O20" s="23"/>
      <c r="P20" s="42" t="str">
        <f t="shared" si="3"/>
        <v/>
      </c>
      <c r="Q20" s="38" t="str">
        <f t="shared" si="4"/>
        <v/>
      </c>
      <c r="R20" s="38" t="str">
        <f t="shared" si="5"/>
        <v/>
      </c>
      <c r="S20" s="43" t="str">
        <f t="shared" si="6"/>
        <v/>
      </c>
    </row>
    <row r="21" spans="1:19" s="30" customFormat="1" ht="15" thickBot="1" x14ac:dyDescent="0.35">
      <c r="A21" s="16"/>
      <c r="B21" s="50"/>
      <c r="C21" s="17"/>
      <c r="D21" s="55"/>
      <c r="E21" s="18"/>
      <c r="F21" s="51"/>
      <c r="G21" s="51"/>
      <c r="H21" s="56"/>
      <c r="I21" s="31"/>
      <c r="J21" s="31"/>
      <c r="K21" s="26" t="str">
        <f t="shared" si="0"/>
        <v/>
      </c>
      <c r="L21" s="27" t="str">
        <f t="shared" si="1"/>
        <v/>
      </c>
      <c r="M21" s="28"/>
      <c r="N21" s="29" t="str">
        <f t="shared" si="2"/>
        <v/>
      </c>
      <c r="O21" s="23"/>
      <c r="P21" s="44" t="str">
        <f t="shared" si="3"/>
        <v/>
      </c>
      <c r="Q21" s="45" t="str">
        <f t="shared" si="4"/>
        <v/>
      </c>
      <c r="R21" s="45" t="str">
        <f t="shared" si="5"/>
        <v/>
      </c>
      <c r="S21" s="46" t="str">
        <f t="shared" si="6"/>
        <v/>
      </c>
    </row>
    <row r="22" spans="1:19" ht="15" thickBot="1" x14ac:dyDescent="0.35">
      <c r="A22" s="59"/>
      <c r="B22" s="60"/>
      <c r="C22" s="60"/>
      <c r="D22" s="60"/>
      <c r="E22" s="61"/>
      <c r="F22" s="52"/>
      <c r="G22" s="52"/>
      <c r="H22" s="52"/>
      <c r="I22" s="83" t="s">
        <v>22</v>
      </c>
      <c r="J22" s="84"/>
      <c r="K22" s="84"/>
      <c r="L22" s="84"/>
      <c r="M22" s="85"/>
      <c r="N22" s="13">
        <f>SUM($N3:$N21)</f>
        <v>1.7</v>
      </c>
    </row>
    <row r="23" spans="1:19" ht="15.6" thickTop="1" thickBot="1" x14ac:dyDescent="0.35">
      <c r="A23" s="62"/>
      <c r="B23" s="63"/>
      <c r="C23" s="63"/>
      <c r="D23" s="63"/>
      <c r="E23" s="64"/>
      <c r="F23" s="53"/>
      <c r="G23" s="53"/>
      <c r="H23" s="53"/>
      <c r="I23" s="86" t="s">
        <v>21</v>
      </c>
      <c r="J23" s="87"/>
      <c r="K23" s="87"/>
      <c r="L23" s="87"/>
      <c r="M23" s="88"/>
      <c r="N23" s="14">
        <f>$N$22/$N$1</f>
        <v>0.56666666666666665</v>
      </c>
    </row>
    <row r="24" spans="1:19" s="6" customFormat="1" ht="15.6" customHeight="1" thickBot="1" x14ac:dyDescent="0.35">
      <c r="B24" s="32"/>
      <c r="D24" s="32"/>
      <c r="E24" s="10"/>
      <c r="F24" s="11"/>
      <c r="G24" s="11"/>
      <c r="H24" s="11"/>
      <c r="K24" s="11"/>
      <c r="L24" s="11"/>
      <c r="M24" s="12"/>
      <c r="N24" s="12"/>
      <c r="Q24" s="32"/>
      <c r="R24" s="32"/>
      <c r="S24" s="35"/>
    </row>
    <row r="25" spans="1:19" s="6" customFormat="1" ht="15" thickBot="1" x14ac:dyDescent="0.35">
      <c r="B25" s="32"/>
      <c r="D25" s="32"/>
      <c r="E25" s="94" t="s">
        <v>8</v>
      </c>
      <c r="F25" s="92" t="s">
        <v>23</v>
      </c>
      <c r="G25" s="92"/>
      <c r="H25" s="93"/>
      <c r="K25" s="11"/>
      <c r="L25" s="11"/>
      <c r="M25" s="12"/>
      <c r="N25" s="12"/>
      <c r="Q25" s="32"/>
      <c r="R25" s="32"/>
      <c r="S25" s="35"/>
    </row>
    <row r="26" spans="1:19" s="6" customFormat="1" ht="15" thickBot="1" x14ac:dyDescent="0.35">
      <c r="B26" s="32"/>
      <c r="D26" s="32" t="s">
        <v>7</v>
      </c>
      <c r="E26" s="94"/>
      <c r="F26" s="81" t="s">
        <v>24</v>
      </c>
      <c r="G26" s="81"/>
      <c r="H26" s="82"/>
      <c r="K26" s="11"/>
      <c r="L26" s="11"/>
      <c r="M26" s="12"/>
      <c r="N26" s="12"/>
      <c r="Q26" s="32"/>
      <c r="R26" s="32"/>
      <c r="S26" s="35"/>
    </row>
    <row r="27" spans="1:19" s="6" customFormat="1" ht="15" thickBot="1" x14ac:dyDescent="0.35">
      <c r="B27" s="32"/>
      <c r="D27" s="32"/>
      <c r="E27" s="94"/>
      <c r="F27" s="89" t="s">
        <v>6</v>
      </c>
      <c r="G27" s="89"/>
      <c r="H27" s="90"/>
      <c r="K27" s="11"/>
      <c r="L27" s="11"/>
      <c r="M27" s="12"/>
      <c r="N27" s="12"/>
      <c r="Q27" s="32"/>
      <c r="R27" s="32"/>
      <c r="S27" s="35"/>
    </row>
    <row r="28" spans="1:19" s="6" customFormat="1" x14ac:dyDescent="0.3">
      <c r="B28" s="32"/>
      <c r="D28" s="32"/>
      <c r="E28" s="10"/>
      <c r="F28" s="11"/>
      <c r="G28" s="11"/>
      <c r="H28" s="11"/>
      <c r="K28" s="11"/>
      <c r="L28" s="11"/>
      <c r="M28" s="12"/>
      <c r="N28" s="12"/>
      <c r="Q28" s="32"/>
      <c r="R28" s="32"/>
      <c r="S28" s="35"/>
    </row>
    <row r="29" spans="1:19" s="6" customFormat="1" x14ac:dyDescent="0.3">
      <c r="B29" s="32"/>
      <c r="D29" s="32"/>
      <c r="E29" s="10"/>
      <c r="F29" s="95"/>
      <c r="G29" s="95"/>
      <c r="H29" s="95"/>
      <c r="K29" s="11"/>
      <c r="L29" s="11"/>
      <c r="M29" s="12"/>
      <c r="N29" s="12"/>
      <c r="Q29" s="32"/>
      <c r="R29" s="32"/>
      <c r="S29" s="35"/>
    </row>
    <row r="30" spans="1:19" s="5" customFormat="1" x14ac:dyDescent="0.3">
      <c r="A30" s="91" t="s">
        <v>30</v>
      </c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Q30" s="34"/>
      <c r="R30" s="34"/>
      <c r="S30" s="37"/>
    </row>
    <row r="31" spans="1:19" s="6" customFormat="1" x14ac:dyDescent="0.3">
      <c r="B31" s="32"/>
      <c r="D31" s="32"/>
      <c r="E31" s="10"/>
      <c r="F31" s="11"/>
      <c r="G31" s="11"/>
      <c r="H31" s="11"/>
      <c r="K31" s="11"/>
      <c r="L31" s="11"/>
      <c r="M31" s="12"/>
      <c r="N31" s="12"/>
      <c r="Q31" s="32"/>
      <c r="R31" s="32"/>
      <c r="S31" s="35"/>
    </row>
    <row r="32" spans="1:19" s="6" customFormat="1" x14ac:dyDescent="0.3">
      <c r="B32" s="32"/>
      <c r="D32" s="32"/>
      <c r="E32" s="10"/>
      <c r="F32" s="11"/>
      <c r="G32" s="11"/>
      <c r="H32" s="11"/>
      <c r="K32" s="11"/>
      <c r="L32" s="11"/>
      <c r="M32" s="12"/>
      <c r="N32" s="12"/>
      <c r="Q32" s="32"/>
      <c r="R32" s="32"/>
      <c r="S32" s="35"/>
    </row>
    <row r="33" spans="2:19" s="6" customFormat="1" x14ac:dyDescent="0.3">
      <c r="B33" s="32"/>
      <c r="D33" s="32"/>
      <c r="E33" s="10"/>
      <c r="F33" s="11"/>
      <c r="G33" s="11"/>
      <c r="H33" s="11"/>
      <c r="K33" s="11"/>
      <c r="L33" s="11"/>
      <c r="M33" s="12"/>
      <c r="N33" s="12"/>
      <c r="Q33" s="32"/>
      <c r="R33" s="32"/>
      <c r="S33" s="35"/>
    </row>
    <row r="34" spans="2:19" s="6" customFormat="1" x14ac:dyDescent="0.3">
      <c r="B34" s="32"/>
      <c r="D34" s="32"/>
      <c r="E34" s="10"/>
      <c r="F34" s="11"/>
      <c r="G34" s="11"/>
      <c r="H34" s="11"/>
      <c r="K34" s="11"/>
      <c r="L34" s="11"/>
      <c r="M34" s="12"/>
      <c r="N34" s="12"/>
      <c r="Q34" s="32"/>
      <c r="R34" s="32"/>
      <c r="S34" s="35"/>
    </row>
    <row r="35" spans="2:19" s="6" customFormat="1" x14ac:dyDescent="0.3">
      <c r="B35" s="32"/>
      <c r="D35" s="32"/>
      <c r="E35" s="10"/>
      <c r="F35" s="11"/>
      <c r="G35" s="11"/>
      <c r="H35" s="11"/>
      <c r="K35" s="11"/>
      <c r="L35" s="11"/>
      <c r="M35" s="12"/>
      <c r="N35" s="12"/>
      <c r="Q35" s="32"/>
      <c r="R35" s="32"/>
      <c r="S35" s="35"/>
    </row>
    <row r="36" spans="2:19" s="6" customFormat="1" x14ac:dyDescent="0.3">
      <c r="B36" s="32"/>
      <c r="D36" s="32"/>
      <c r="E36" s="10"/>
      <c r="F36" s="11"/>
      <c r="G36" s="11"/>
      <c r="H36" s="11"/>
      <c r="K36" s="11"/>
      <c r="L36" s="11"/>
      <c r="M36" s="12"/>
      <c r="N36" s="12"/>
      <c r="Q36" s="32"/>
      <c r="R36" s="32"/>
      <c r="S36" s="35"/>
    </row>
    <row r="37" spans="2:19" s="6" customFormat="1" x14ac:dyDescent="0.3">
      <c r="B37" s="32"/>
      <c r="D37" s="32"/>
      <c r="E37" s="10"/>
      <c r="F37" s="11"/>
      <c r="G37" s="11"/>
      <c r="H37" s="11"/>
      <c r="K37" s="11"/>
      <c r="L37" s="11"/>
      <c r="M37" s="12"/>
      <c r="N37" s="12"/>
      <c r="Q37" s="32"/>
      <c r="R37" s="32"/>
      <c r="S37" s="35"/>
    </row>
    <row r="38" spans="2:19" s="6" customFormat="1" x14ac:dyDescent="0.3">
      <c r="B38" s="32"/>
      <c r="D38" s="32"/>
      <c r="E38" s="10"/>
      <c r="F38" s="11"/>
      <c r="G38" s="11"/>
      <c r="H38" s="11"/>
      <c r="K38" s="11"/>
      <c r="L38" s="11"/>
      <c r="M38" s="12"/>
      <c r="N38" s="12"/>
      <c r="Q38" s="32"/>
      <c r="R38" s="32"/>
      <c r="S38" s="35"/>
    </row>
    <row r="39" spans="2:19" s="6" customFormat="1" x14ac:dyDescent="0.3">
      <c r="B39" s="32"/>
      <c r="D39" s="32"/>
      <c r="E39" s="10"/>
      <c r="F39" s="11"/>
      <c r="G39" s="11"/>
      <c r="H39" s="11"/>
      <c r="K39" s="11"/>
      <c r="L39" s="11"/>
      <c r="M39" s="12"/>
      <c r="N39" s="12"/>
      <c r="Q39" s="32"/>
      <c r="R39" s="32"/>
      <c r="S39" s="35"/>
    </row>
    <row r="40" spans="2:19" s="6" customFormat="1" x14ac:dyDescent="0.3">
      <c r="B40" s="32"/>
      <c r="D40" s="32"/>
      <c r="E40" s="10"/>
      <c r="F40" s="11"/>
      <c r="G40" s="11"/>
      <c r="H40" s="11"/>
      <c r="K40" s="11"/>
      <c r="L40" s="11"/>
      <c r="M40" s="12"/>
      <c r="N40" s="12"/>
      <c r="Q40" s="32"/>
      <c r="R40" s="32"/>
      <c r="S40" s="35"/>
    </row>
    <row r="41" spans="2:19" s="6" customFormat="1" x14ac:dyDescent="0.3">
      <c r="B41" s="32"/>
      <c r="D41" s="32"/>
      <c r="E41" s="10"/>
      <c r="F41" s="11"/>
      <c r="G41" s="11"/>
      <c r="H41" s="11"/>
      <c r="K41" s="11"/>
      <c r="L41" s="11"/>
      <c r="M41" s="12"/>
      <c r="N41" s="12"/>
      <c r="Q41" s="32"/>
      <c r="R41" s="32"/>
      <c r="S41" s="35"/>
    </row>
    <row r="42" spans="2:19" s="6" customFormat="1" x14ac:dyDescent="0.3">
      <c r="B42" s="32"/>
      <c r="D42" s="32"/>
      <c r="E42" s="10"/>
      <c r="F42" s="11"/>
      <c r="G42" s="11"/>
      <c r="H42" s="11"/>
      <c r="K42" s="11"/>
      <c r="L42" s="11"/>
      <c r="M42" s="12"/>
      <c r="N42" s="12"/>
      <c r="Q42" s="32"/>
      <c r="R42" s="32"/>
      <c r="S42" s="35"/>
    </row>
    <row r="43" spans="2:19" s="6" customFormat="1" x14ac:dyDescent="0.3">
      <c r="B43" s="32"/>
      <c r="D43" s="32"/>
      <c r="E43" s="10"/>
      <c r="F43" s="11"/>
      <c r="G43" s="11"/>
      <c r="H43" s="11"/>
      <c r="K43" s="11"/>
      <c r="L43" s="11"/>
      <c r="M43" s="12"/>
      <c r="N43" s="12"/>
      <c r="Q43" s="32"/>
      <c r="R43" s="32"/>
      <c r="S43" s="35"/>
    </row>
    <row r="44" spans="2:19" s="6" customFormat="1" x14ac:dyDescent="0.3">
      <c r="B44" s="32"/>
      <c r="D44" s="32"/>
      <c r="E44" s="10"/>
      <c r="F44" s="11"/>
      <c r="G44" s="11"/>
      <c r="H44" s="11"/>
      <c r="K44" s="11"/>
      <c r="L44" s="11"/>
      <c r="M44" s="12"/>
      <c r="N44" s="12"/>
      <c r="Q44" s="32"/>
      <c r="R44" s="32"/>
      <c r="S44" s="35"/>
    </row>
    <row r="45" spans="2:19" s="6" customFormat="1" x14ac:dyDescent="0.3">
      <c r="B45" s="32"/>
      <c r="D45" s="32"/>
      <c r="E45" s="10"/>
      <c r="F45" s="11"/>
      <c r="G45" s="11"/>
      <c r="H45" s="11"/>
      <c r="K45" s="11"/>
      <c r="L45" s="11"/>
      <c r="M45" s="12"/>
      <c r="N45" s="12"/>
      <c r="Q45" s="32"/>
      <c r="R45" s="32"/>
      <c r="S45" s="35"/>
    </row>
    <row r="46" spans="2:19" s="6" customFormat="1" x14ac:dyDescent="0.3">
      <c r="B46" s="32"/>
      <c r="D46" s="32"/>
      <c r="E46" s="10"/>
      <c r="F46" s="11"/>
      <c r="G46" s="11"/>
      <c r="H46" s="11"/>
      <c r="K46" s="11"/>
      <c r="L46" s="11"/>
      <c r="M46" s="12"/>
      <c r="N46" s="12"/>
      <c r="Q46" s="32"/>
      <c r="R46" s="32"/>
      <c r="S46" s="35"/>
    </row>
    <row r="47" spans="2:19" s="6" customFormat="1" x14ac:dyDescent="0.3">
      <c r="B47" s="32"/>
      <c r="D47" s="32"/>
      <c r="E47" s="10"/>
      <c r="F47" s="11"/>
      <c r="G47" s="11"/>
      <c r="H47" s="11"/>
      <c r="K47" s="11"/>
      <c r="L47" s="11"/>
      <c r="M47" s="12"/>
      <c r="N47" s="12"/>
      <c r="Q47" s="32"/>
      <c r="R47" s="32"/>
      <c r="S47" s="35"/>
    </row>
    <row r="48" spans="2:19" s="6" customFormat="1" x14ac:dyDescent="0.3">
      <c r="B48" s="32"/>
      <c r="D48" s="32"/>
      <c r="E48" s="10"/>
      <c r="F48" s="11"/>
      <c r="G48" s="11"/>
      <c r="H48" s="11"/>
      <c r="K48" s="11"/>
      <c r="L48" s="11"/>
      <c r="M48" s="12"/>
      <c r="N48" s="12"/>
      <c r="Q48" s="32"/>
      <c r="R48" s="32"/>
      <c r="S48" s="35"/>
    </row>
    <row r="49" spans="2:19" s="6" customFormat="1" x14ac:dyDescent="0.3">
      <c r="B49" s="32"/>
      <c r="D49" s="32"/>
      <c r="E49" s="10"/>
      <c r="F49" s="11"/>
      <c r="G49" s="11"/>
      <c r="H49" s="11"/>
      <c r="K49" s="11"/>
      <c r="L49" s="11"/>
      <c r="M49" s="12"/>
      <c r="N49" s="12"/>
      <c r="Q49" s="32"/>
      <c r="R49" s="32"/>
      <c r="S49" s="35"/>
    </row>
    <row r="50" spans="2:19" s="6" customFormat="1" x14ac:dyDescent="0.3">
      <c r="B50" s="32"/>
      <c r="D50" s="32"/>
      <c r="E50" s="10"/>
      <c r="F50" s="11"/>
      <c r="G50" s="11"/>
      <c r="H50" s="11"/>
      <c r="K50" s="11"/>
      <c r="L50" s="11"/>
      <c r="M50" s="12"/>
      <c r="N50" s="12"/>
      <c r="Q50" s="32"/>
      <c r="R50" s="32"/>
      <c r="S50" s="35"/>
    </row>
    <row r="51" spans="2:19" s="6" customFormat="1" x14ac:dyDescent="0.3">
      <c r="B51" s="32"/>
      <c r="D51" s="32"/>
      <c r="E51" s="10"/>
      <c r="F51" s="11"/>
      <c r="G51" s="11"/>
      <c r="H51" s="11"/>
      <c r="K51" s="11"/>
      <c r="L51" s="11"/>
      <c r="M51" s="12"/>
      <c r="N51" s="12"/>
      <c r="Q51" s="32"/>
      <c r="R51" s="32"/>
      <c r="S51" s="35"/>
    </row>
    <row r="52" spans="2:19" s="6" customFormat="1" x14ac:dyDescent="0.3">
      <c r="B52" s="32"/>
      <c r="D52" s="32"/>
      <c r="E52" s="10"/>
      <c r="F52" s="11"/>
      <c r="G52" s="11"/>
      <c r="H52" s="11"/>
      <c r="K52" s="11"/>
      <c r="L52" s="11"/>
      <c r="M52" s="12"/>
      <c r="N52" s="12"/>
      <c r="Q52" s="32"/>
      <c r="R52" s="32"/>
      <c r="S52" s="35"/>
    </row>
    <row r="53" spans="2:19" s="6" customFormat="1" x14ac:dyDescent="0.3">
      <c r="B53" s="32"/>
      <c r="D53" s="32"/>
      <c r="E53" s="10"/>
      <c r="F53" s="11"/>
      <c r="G53" s="11"/>
      <c r="H53" s="11"/>
      <c r="K53" s="11"/>
      <c r="L53" s="11"/>
      <c r="M53" s="12"/>
      <c r="N53" s="12"/>
      <c r="Q53" s="32"/>
      <c r="R53" s="32"/>
      <c r="S53" s="35"/>
    </row>
    <row r="54" spans="2:19" s="6" customFormat="1" x14ac:dyDescent="0.3">
      <c r="B54" s="32"/>
      <c r="D54" s="32"/>
      <c r="E54" s="10"/>
      <c r="F54" s="11"/>
      <c r="G54" s="11"/>
      <c r="H54" s="11"/>
      <c r="K54" s="11"/>
      <c r="L54" s="11"/>
      <c r="M54" s="12"/>
      <c r="N54" s="12"/>
      <c r="Q54" s="32"/>
      <c r="R54" s="32"/>
      <c r="S54" s="35"/>
    </row>
    <row r="55" spans="2:19" s="6" customFormat="1" x14ac:dyDescent="0.3">
      <c r="B55" s="32"/>
      <c r="D55" s="32"/>
      <c r="E55" s="10"/>
      <c r="F55" s="11"/>
      <c r="G55" s="11"/>
      <c r="H55" s="11"/>
      <c r="K55" s="11"/>
      <c r="L55" s="11"/>
      <c r="M55" s="12"/>
      <c r="N55" s="12"/>
      <c r="Q55" s="32"/>
      <c r="R55" s="32"/>
      <c r="S55" s="35"/>
    </row>
    <row r="56" spans="2:19" s="6" customFormat="1" x14ac:dyDescent="0.3">
      <c r="B56" s="32"/>
      <c r="D56" s="32"/>
      <c r="E56" s="10"/>
      <c r="F56" s="11"/>
      <c r="G56" s="11"/>
      <c r="H56" s="11"/>
      <c r="K56" s="11"/>
      <c r="L56" s="11"/>
      <c r="M56" s="12"/>
      <c r="N56" s="12"/>
      <c r="Q56" s="32"/>
      <c r="R56" s="32"/>
      <c r="S56" s="35"/>
    </row>
    <row r="57" spans="2:19" s="6" customFormat="1" x14ac:dyDescent="0.3">
      <c r="B57" s="32"/>
      <c r="D57" s="32"/>
      <c r="E57" s="10"/>
      <c r="F57" s="11"/>
      <c r="G57" s="11"/>
      <c r="H57" s="11"/>
      <c r="K57" s="11"/>
      <c r="L57" s="11"/>
      <c r="M57" s="12"/>
      <c r="N57" s="12"/>
      <c r="Q57" s="32"/>
      <c r="R57" s="32"/>
      <c r="S57" s="35"/>
    </row>
    <row r="58" spans="2:19" s="6" customFormat="1" x14ac:dyDescent="0.3">
      <c r="B58" s="32"/>
      <c r="D58" s="32"/>
      <c r="E58" s="10"/>
      <c r="F58" s="11"/>
      <c r="G58" s="11"/>
      <c r="H58" s="11"/>
      <c r="K58" s="11"/>
      <c r="L58" s="11"/>
      <c r="M58" s="12"/>
      <c r="N58" s="12"/>
      <c r="Q58" s="32"/>
      <c r="R58" s="32"/>
      <c r="S58" s="35"/>
    </row>
    <row r="59" spans="2:19" s="6" customFormat="1" x14ac:dyDescent="0.3">
      <c r="B59" s="32"/>
      <c r="D59" s="32"/>
      <c r="E59" s="10"/>
      <c r="F59" s="11"/>
      <c r="G59" s="11"/>
      <c r="H59" s="11"/>
      <c r="K59" s="11"/>
      <c r="L59" s="11"/>
      <c r="M59" s="12"/>
      <c r="N59" s="12"/>
      <c r="Q59" s="32"/>
      <c r="R59" s="32"/>
      <c r="S59" s="35"/>
    </row>
    <row r="60" spans="2:19" s="6" customFormat="1" x14ac:dyDescent="0.3">
      <c r="B60" s="32"/>
      <c r="D60" s="32"/>
      <c r="E60" s="10"/>
      <c r="F60" s="11"/>
      <c r="G60" s="11"/>
      <c r="H60" s="11"/>
      <c r="K60" s="11"/>
      <c r="L60" s="11"/>
      <c r="M60" s="12"/>
      <c r="N60" s="12"/>
      <c r="Q60" s="32"/>
      <c r="R60" s="32"/>
      <c r="S60" s="35"/>
    </row>
    <row r="61" spans="2:19" s="6" customFormat="1" x14ac:dyDescent="0.3">
      <c r="B61" s="32"/>
      <c r="D61" s="32"/>
      <c r="E61" s="10"/>
      <c r="F61" s="11"/>
      <c r="G61" s="11"/>
      <c r="H61" s="11"/>
      <c r="K61" s="11"/>
      <c r="L61" s="11"/>
      <c r="M61" s="12"/>
      <c r="N61" s="12"/>
      <c r="Q61" s="32"/>
      <c r="R61" s="32"/>
      <c r="S61" s="35"/>
    </row>
    <row r="62" spans="2:19" s="6" customFormat="1" x14ac:dyDescent="0.3">
      <c r="B62" s="32"/>
      <c r="D62" s="32"/>
      <c r="E62" s="10"/>
      <c r="F62" s="11"/>
      <c r="G62" s="11"/>
      <c r="H62" s="11"/>
      <c r="K62" s="11"/>
      <c r="L62" s="11"/>
      <c r="M62" s="12"/>
      <c r="N62" s="12"/>
      <c r="Q62" s="32"/>
      <c r="R62" s="32"/>
      <c r="S62" s="35"/>
    </row>
    <row r="63" spans="2:19" s="6" customFormat="1" x14ac:dyDescent="0.3">
      <c r="B63" s="32"/>
      <c r="D63" s="32"/>
      <c r="E63" s="10"/>
      <c r="F63" s="11"/>
      <c r="G63" s="11"/>
      <c r="H63" s="11"/>
      <c r="K63" s="11"/>
      <c r="L63" s="11"/>
      <c r="M63" s="12"/>
      <c r="N63" s="12"/>
      <c r="Q63" s="32"/>
      <c r="R63" s="32"/>
      <c r="S63" s="35"/>
    </row>
    <row r="64" spans="2:19" s="6" customFormat="1" x14ac:dyDescent="0.3">
      <c r="B64" s="32"/>
      <c r="D64" s="32"/>
      <c r="E64" s="10"/>
      <c r="F64" s="11"/>
      <c r="G64" s="11"/>
      <c r="H64" s="11"/>
      <c r="K64" s="11"/>
      <c r="L64" s="11"/>
      <c r="M64" s="12"/>
      <c r="N64" s="12"/>
      <c r="Q64" s="32"/>
      <c r="R64" s="32"/>
      <c r="S64" s="35"/>
    </row>
    <row r="65" spans="2:19" s="6" customFormat="1" x14ac:dyDescent="0.3">
      <c r="B65" s="32"/>
      <c r="D65" s="32"/>
      <c r="E65" s="10"/>
      <c r="F65" s="11"/>
      <c r="G65" s="11"/>
      <c r="H65" s="11"/>
      <c r="K65" s="11"/>
      <c r="L65" s="11"/>
      <c r="M65" s="12"/>
      <c r="N65" s="12"/>
      <c r="Q65" s="32"/>
      <c r="R65" s="32"/>
      <c r="S65" s="35"/>
    </row>
    <row r="66" spans="2:19" s="6" customFormat="1" x14ac:dyDescent="0.3">
      <c r="B66" s="32"/>
      <c r="D66" s="32"/>
      <c r="E66" s="10"/>
      <c r="F66" s="11"/>
      <c r="G66" s="11"/>
      <c r="H66" s="11"/>
      <c r="K66" s="11"/>
      <c r="L66" s="11"/>
      <c r="M66" s="12"/>
      <c r="N66" s="12"/>
      <c r="Q66" s="32"/>
      <c r="R66" s="32"/>
      <c r="S66" s="35"/>
    </row>
    <row r="67" spans="2:19" s="6" customFormat="1" x14ac:dyDescent="0.3">
      <c r="B67" s="32"/>
      <c r="D67" s="32"/>
      <c r="E67" s="10"/>
      <c r="F67" s="11"/>
      <c r="G67" s="11"/>
      <c r="H67" s="11"/>
      <c r="K67" s="11"/>
      <c r="L67" s="11"/>
      <c r="M67" s="12"/>
      <c r="N67" s="12"/>
      <c r="Q67" s="32"/>
      <c r="R67" s="32"/>
      <c r="S67" s="35"/>
    </row>
    <row r="68" spans="2:19" s="6" customFormat="1" x14ac:dyDescent="0.3">
      <c r="B68" s="32"/>
      <c r="D68" s="32"/>
      <c r="E68" s="10"/>
      <c r="F68" s="11"/>
      <c r="G68" s="11"/>
      <c r="H68" s="11"/>
      <c r="K68" s="11"/>
      <c r="L68" s="11"/>
      <c r="M68" s="12"/>
      <c r="N68" s="12"/>
      <c r="Q68" s="32"/>
      <c r="R68" s="32"/>
      <c r="S68" s="35"/>
    </row>
    <row r="69" spans="2:19" s="6" customFormat="1" x14ac:dyDescent="0.3">
      <c r="B69" s="32"/>
      <c r="D69" s="32"/>
      <c r="E69" s="10"/>
      <c r="F69" s="11"/>
      <c r="G69" s="11"/>
      <c r="H69" s="11"/>
      <c r="K69" s="11"/>
      <c r="L69" s="11"/>
      <c r="M69" s="12"/>
      <c r="N69" s="12"/>
      <c r="Q69" s="32"/>
      <c r="R69" s="32"/>
      <c r="S69" s="35"/>
    </row>
    <row r="70" spans="2:19" s="6" customFormat="1" x14ac:dyDescent="0.3">
      <c r="B70" s="32"/>
      <c r="D70" s="32"/>
      <c r="E70" s="10"/>
      <c r="F70" s="11"/>
      <c r="G70" s="11"/>
      <c r="H70" s="11"/>
      <c r="K70" s="11"/>
      <c r="L70" s="11"/>
      <c r="M70" s="12"/>
      <c r="N70" s="12"/>
      <c r="Q70" s="32"/>
      <c r="R70" s="32"/>
      <c r="S70" s="35"/>
    </row>
    <row r="71" spans="2:19" s="6" customFormat="1" x14ac:dyDescent="0.3">
      <c r="B71" s="32"/>
      <c r="D71" s="32"/>
      <c r="E71" s="10"/>
      <c r="F71" s="11"/>
      <c r="G71" s="11"/>
      <c r="H71" s="11"/>
      <c r="K71" s="11"/>
      <c r="L71" s="11"/>
      <c r="M71" s="12"/>
      <c r="N71" s="12"/>
      <c r="Q71" s="32"/>
      <c r="R71" s="32"/>
      <c r="S71" s="35"/>
    </row>
    <row r="72" spans="2:19" s="6" customFormat="1" x14ac:dyDescent="0.3">
      <c r="B72" s="32"/>
      <c r="D72" s="32"/>
      <c r="E72" s="10"/>
      <c r="F72" s="11"/>
      <c r="G72" s="11"/>
      <c r="H72" s="11"/>
      <c r="K72" s="11"/>
      <c r="L72" s="11"/>
      <c r="M72" s="12"/>
      <c r="N72" s="12"/>
      <c r="Q72" s="32"/>
      <c r="R72" s="32"/>
      <c r="S72" s="35"/>
    </row>
    <row r="73" spans="2:19" s="6" customFormat="1" x14ac:dyDescent="0.3">
      <c r="B73" s="32"/>
      <c r="D73" s="32"/>
      <c r="E73" s="10"/>
      <c r="F73" s="11"/>
      <c r="G73" s="11"/>
      <c r="H73" s="11"/>
      <c r="K73" s="11"/>
      <c r="L73" s="11"/>
      <c r="M73" s="12"/>
      <c r="N73" s="12"/>
      <c r="Q73" s="32"/>
      <c r="R73" s="32"/>
      <c r="S73" s="35"/>
    </row>
    <row r="74" spans="2:19" s="6" customFormat="1" x14ac:dyDescent="0.3">
      <c r="B74" s="32"/>
      <c r="D74" s="32"/>
      <c r="E74" s="10"/>
      <c r="F74" s="11"/>
      <c r="G74" s="11"/>
      <c r="H74" s="11"/>
      <c r="K74" s="11"/>
      <c r="L74" s="11"/>
      <c r="M74" s="12"/>
      <c r="N74" s="12"/>
      <c r="Q74" s="32"/>
      <c r="R74" s="32"/>
      <c r="S74" s="35"/>
    </row>
    <row r="75" spans="2:19" s="6" customFormat="1" x14ac:dyDescent="0.3">
      <c r="B75" s="32"/>
      <c r="D75" s="32"/>
      <c r="E75" s="10"/>
      <c r="F75" s="11"/>
      <c r="G75" s="11"/>
      <c r="H75" s="11"/>
      <c r="K75" s="11"/>
      <c r="L75" s="11"/>
      <c r="M75" s="12"/>
      <c r="N75" s="12"/>
      <c r="Q75" s="32"/>
      <c r="R75" s="32"/>
      <c r="S75" s="35"/>
    </row>
    <row r="76" spans="2:19" s="6" customFormat="1" x14ac:dyDescent="0.3">
      <c r="B76" s="32"/>
      <c r="D76" s="32"/>
      <c r="E76" s="10"/>
      <c r="F76" s="11"/>
      <c r="G76" s="11"/>
      <c r="H76" s="11"/>
      <c r="K76" s="11"/>
      <c r="L76" s="11"/>
      <c r="M76" s="12"/>
      <c r="N76" s="12"/>
      <c r="Q76" s="32"/>
      <c r="R76" s="32"/>
      <c r="S76" s="35"/>
    </row>
  </sheetData>
  <sheetProtection sheet="1" objects="1" scenarios="1" insertRows="0" insertHyperlinks="0" deleteRows="0" sort="0" autoFilter="0"/>
  <mergeCells count="21">
    <mergeCell ref="F26:H26"/>
    <mergeCell ref="I22:M22"/>
    <mergeCell ref="I23:M23"/>
    <mergeCell ref="F27:H27"/>
    <mergeCell ref="A30:N30"/>
    <mergeCell ref="F25:H25"/>
    <mergeCell ref="E25:E27"/>
    <mergeCell ref="F29:H29"/>
    <mergeCell ref="K1:M1"/>
    <mergeCell ref="A22:E23"/>
    <mergeCell ref="B1:B2"/>
    <mergeCell ref="P1:S1"/>
    <mergeCell ref="J1:J2"/>
    <mergeCell ref="H1:H2"/>
    <mergeCell ref="I1:I2"/>
    <mergeCell ref="A1:A2"/>
    <mergeCell ref="C1:C2"/>
    <mergeCell ref="D1:D2"/>
    <mergeCell ref="F1:F2"/>
    <mergeCell ref="G1:G2"/>
    <mergeCell ref="E1:E2"/>
  </mergeCells>
  <hyperlinks>
    <hyperlink ref="D3" r:id="rId1"/>
    <hyperlink ref="C3" r:id="rId2"/>
  </hyperlinks>
  <pageMargins left="0.70866141732283472" right="0.70866141732283472" top="0.74803149606299213" bottom="0.74803149606299213" header="0.31496062992125984" footer="0.31496062992125984"/>
  <pageSetup paperSize="9" scale="66" orientation="landscape" blackAndWhite="1" r:id="rId3"/>
  <headerFooter>
    <oddFooter>&amp;L&amp;F&amp;R&amp;D &amp;T</oddFooter>
  </headerFooter>
  <legacyDrawing r:id="rId4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Feuil1</vt:lpstr>
      <vt:lpstr>Feuil1!Zone_d_impression</vt:lpstr>
    </vt:vector>
  </TitlesOfParts>
  <Company>EMF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Michel Berset</dc:creator>
  <cp:lastModifiedBy>Michel Berset</cp:lastModifiedBy>
  <cp:lastPrinted>2018-05-18T13:53:48Z</cp:lastPrinted>
  <dcterms:created xsi:type="dcterms:W3CDTF">2014-02-03T17:14:26Z</dcterms:created>
  <dcterms:modified xsi:type="dcterms:W3CDTF">2018-11-22T11:08:44Z</dcterms:modified>
</cp:coreProperties>
</file>